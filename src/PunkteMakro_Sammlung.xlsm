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ascal\Google Drive\programmieren\mec3\mec2\src\"/>
    </mc:Choice>
  </mc:AlternateContent>
  <xr:revisionPtr revIDLastSave="0" documentId="13_ncr:1_{B153BBB1-251F-4E2D-B270-E47B4B8C1AEA}" xr6:coauthVersionLast="47" xr6:coauthVersionMax="47" xr10:uidLastSave="{00000000-0000-0000-0000-000000000000}"/>
  <bookViews>
    <workbookView xWindow="28680" yWindow="-120" windowWidth="19440" windowHeight="15000" activeTab="5" xr2:uid="{00000000-000D-0000-FFFF-FFFF00000000}"/>
  </bookViews>
  <sheets>
    <sheet name="ANA078" sheetId="3" r:id="rId1"/>
    <sheet name="Syn0377" sheetId="5" r:id="rId2"/>
    <sheet name="Syn0580" sheetId="6" r:id="rId3"/>
    <sheet name="Textilmaschine" sheetId="7" r:id="rId4"/>
    <sheet name="Textilmaschine_Stellung2" sheetId="9" r:id="rId5"/>
    <sheet name="ANA077" sheetId="8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4" i="9" l="1"/>
  <c r="I24" i="9" s="1"/>
  <c r="F24" i="9"/>
  <c r="H24" i="9" s="1"/>
  <c r="G23" i="9"/>
  <c r="I23" i="9" s="1"/>
  <c r="F23" i="9"/>
  <c r="H23" i="9" s="1"/>
  <c r="G22" i="9"/>
  <c r="I22" i="9" s="1"/>
  <c r="F22" i="9"/>
  <c r="H22" i="9" s="1"/>
  <c r="G21" i="9"/>
  <c r="I21" i="9" s="1"/>
  <c r="F21" i="9"/>
  <c r="H21" i="9" s="1"/>
  <c r="G20" i="9"/>
  <c r="I20" i="9" s="1"/>
  <c r="F20" i="9"/>
  <c r="H20" i="9" s="1"/>
  <c r="H19" i="9"/>
  <c r="G19" i="9"/>
  <c r="I19" i="9" s="1"/>
  <c r="F19" i="9"/>
  <c r="G18" i="9"/>
  <c r="I18" i="9" s="1"/>
  <c r="F18" i="9"/>
  <c r="H18" i="9" s="1"/>
  <c r="G17" i="9"/>
  <c r="I17" i="9" s="1"/>
  <c r="F17" i="9"/>
  <c r="H17" i="9" s="1"/>
  <c r="G16" i="9"/>
  <c r="I16" i="9" s="1"/>
  <c r="F16" i="9"/>
  <c r="H16" i="9" s="1"/>
  <c r="G15" i="9"/>
  <c r="I15" i="9" s="1"/>
  <c r="F15" i="9"/>
  <c r="H15" i="9" s="1"/>
  <c r="G14" i="9"/>
  <c r="I14" i="9" s="1"/>
  <c r="F14" i="9"/>
  <c r="H14" i="9" s="1"/>
  <c r="G13" i="9"/>
  <c r="I13" i="9" s="1"/>
  <c r="F13" i="9"/>
  <c r="H13" i="9" s="1"/>
  <c r="G12" i="9"/>
  <c r="I12" i="9" s="1"/>
  <c r="F12" i="9"/>
  <c r="H12" i="9" s="1"/>
  <c r="G11" i="9"/>
  <c r="I11" i="9" s="1"/>
  <c r="F11" i="9"/>
  <c r="H11" i="9" s="1"/>
  <c r="G10" i="9"/>
  <c r="I10" i="9" s="1"/>
  <c r="F10" i="9"/>
  <c r="H10" i="9" s="1"/>
  <c r="G9" i="9"/>
  <c r="I9" i="9" s="1"/>
  <c r="F9" i="9"/>
  <c r="H9" i="9" s="1"/>
  <c r="G8" i="9"/>
  <c r="I8" i="9" s="1"/>
  <c r="F8" i="9"/>
  <c r="H8" i="9" s="1"/>
  <c r="G7" i="9"/>
  <c r="I7" i="9" s="1"/>
  <c r="F7" i="9"/>
  <c r="H7" i="9" s="1"/>
  <c r="G6" i="9"/>
  <c r="I6" i="9" s="1"/>
  <c r="F6" i="9"/>
  <c r="H6" i="9" s="1"/>
  <c r="G5" i="9"/>
  <c r="I5" i="9" s="1"/>
  <c r="F5" i="9"/>
  <c r="H5" i="9" s="1"/>
  <c r="G4" i="9"/>
  <c r="I4" i="9" s="1"/>
  <c r="F4" i="9"/>
  <c r="H4" i="9" s="1"/>
  <c r="G3" i="9"/>
  <c r="I3" i="9" s="1"/>
  <c r="F3" i="9"/>
  <c r="H3" i="9" s="1"/>
  <c r="G24" i="8"/>
  <c r="I24" i="8" s="1"/>
  <c r="F24" i="8"/>
  <c r="H24" i="8" s="1"/>
  <c r="I23" i="8"/>
  <c r="G23" i="8"/>
  <c r="F23" i="8"/>
  <c r="H23" i="8" s="1"/>
  <c r="G22" i="8"/>
  <c r="I22" i="8" s="1"/>
  <c r="F22" i="8"/>
  <c r="H22" i="8" s="1"/>
  <c r="G21" i="8"/>
  <c r="I21" i="8" s="1"/>
  <c r="F21" i="8"/>
  <c r="H21" i="8" s="1"/>
  <c r="G20" i="8"/>
  <c r="I20" i="8" s="1"/>
  <c r="F20" i="8"/>
  <c r="H20" i="8" s="1"/>
  <c r="I19" i="8"/>
  <c r="G19" i="8"/>
  <c r="F19" i="8"/>
  <c r="H19" i="8" s="1"/>
  <c r="G18" i="8"/>
  <c r="I18" i="8" s="1"/>
  <c r="F18" i="8"/>
  <c r="H18" i="8" s="1"/>
  <c r="I17" i="8"/>
  <c r="G17" i="8"/>
  <c r="F17" i="8"/>
  <c r="H17" i="8" s="1"/>
  <c r="H16" i="8"/>
  <c r="G16" i="8"/>
  <c r="I16" i="8" s="1"/>
  <c r="F16" i="8"/>
  <c r="I15" i="8"/>
  <c r="G15" i="8"/>
  <c r="F15" i="8"/>
  <c r="H15" i="8" s="1"/>
  <c r="G14" i="8"/>
  <c r="I14" i="8" s="1"/>
  <c r="F14" i="8"/>
  <c r="H14" i="8" s="1"/>
  <c r="I13" i="8"/>
  <c r="G13" i="8"/>
  <c r="F13" i="8"/>
  <c r="H13" i="8" s="1"/>
  <c r="G12" i="8"/>
  <c r="I12" i="8" s="1"/>
  <c r="F12" i="8"/>
  <c r="H12" i="8" s="1"/>
  <c r="G11" i="8"/>
  <c r="I11" i="8" s="1"/>
  <c r="F11" i="8"/>
  <c r="H11" i="8" s="1"/>
  <c r="G10" i="8"/>
  <c r="I10" i="8" s="1"/>
  <c r="F10" i="8"/>
  <c r="H10" i="8" s="1"/>
  <c r="G9" i="8"/>
  <c r="I9" i="8" s="1"/>
  <c r="F9" i="8"/>
  <c r="H9" i="8" s="1"/>
  <c r="G8" i="8"/>
  <c r="I8" i="8" s="1"/>
  <c r="F8" i="8"/>
  <c r="H8" i="8" s="1"/>
  <c r="G7" i="8"/>
  <c r="I7" i="8" s="1"/>
  <c r="F7" i="8"/>
  <c r="H7" i="8" s="1"/>
  <c r="G6" i="8"/>
  <c r="I6" i="8" s="1"/>
  <c r="F6" i="8"/>
  <c r="H6" i="8" s="1"/>
  <c r="G5" i="8"/>
  <c r="I5" i="8" s="1"/>
  <c r="F5" i="8"/>
  <c r="H5" i="8" s="1"/>
  <c r="G4" i="8"/>
  <c r="I4" i="8" s="1"/>
  <c r="F4" i="8"/>
  <c r="H4" i="8" s="1"/>
  <c r="G3" i="8"/>
  <c r="I3" i="8" s="1"/>
  <c r="F3" i="8"/>
  <c r="H3" i="8" s="1"/>
  <c r="G26" i="7"/>
  <c r="I26" i="7" s="1"/>
  <c r="F26" i="7"/>
  <c r="H26" i="7" s="1"/>
  <c r="G25" i="7"/>
  <c r="I25" i="7" s="1"/>
  <c r="F25" i="7"/>
  <c r="H25" i="7" s="1"/>
  <c r="G24" i="7"/>
  <c r="I24" i="7" s="1"/>
  <c r="F24" i="7"/>
  <c r="H24" i="7" s="1"/>
  <c r="G23" i="7"/>
  <c r="I23" i="7" s="1"/>
  <c r="F23" i="7"/>
  <c r="H23" i="7" s="1"/>
  <c r="G22" i="7"/>
  <c r="I22" i="7" s="1"/>
  <c r="F22" i="7"/>
  <c r="H22" i="7" s="1"/>
  <c r="I21" i="7"/>
  <c r="H21" i="7"/>
  <c r="G21" i="7"/>
  <c r="F21" i="7"/>
  <c r="G20" i="7"/>
  <c r="I20" i="7" s="1"/>
  <c r="F20" i="7"/>
  <c r="H20" i="7" s="1"/>
  <c r="H19" i="7"/>
  <c r="G19" i="7"/>
  <c r="I19" i="7" s="1"/>
  <c r="F19" i="7"/>
  <c r="I18" i="7"/>
  <c r="G18" i="7"/>
  <c r="F18" i="7"/>
  <c r="H18" i="7" s="1"/>
  <c r="G17" i="7"/>
  <c r="I17" i="7" s="1"/>
  <c r="F17" i="7"/>
  <c r="H17" i="7" s="1"/>
  <c r="G16" i="7"/>
  <c r="I16" i="7" s="1"/>
  <c r="F16" i="7"/>
  <c r="H16" i="7" s="1"/>
  <c r="G15" i="7"/>
  <c r="I15" i="7" s="1"/>
  <c r="F15" i="7"/>
  <c r="H15" i="7" s="1"/>
  <c r="G14" i="7"/>
  <c r="I14" i="7" s="1"/>
  <c r="F14" i="7"/>
  <c r="H14" i="7" s="1"/>
  <c r="G13" i="7"/>
  <c r="I13" i="7" s="1"/>
  <c r="F13" i="7"/>
  <c r="H13" i="7" s="1"/>
  <c r="G12" i="7"/>
  <c r="I12" i="7" s="1"/>
  <c r="F12" i="7"/>
  <c r="H12" i="7" s="1"/>
  <c r="G11" i="7"/>
  <c r="I11" i="7" s="1"/>
  <c r="F11" i="7"/>
  <c r="H11" i="7" s="1"/>
  <c r="G10" i="7"/>
  <c r="I10" i="7" s="1"/>
  <c r="F10" i="7"/>
  <c r="H10" i="7" s="1"/>
  <c r="G9" i="7"/>
  <c r="I9" i="7" s="1"/>
  <c r="F9" i="7"/>
  <c r="H9" i="7" s="1"/>
  <c r="G8" i="7"/>
  <c r="I8" i="7" s="1"/>
  <c r="F8" i="7"/>
  <c r="H8" i="7" s="1"/>
  <c r="H7" i="7"/>
  <c r="G7" i="7"/>
  <c r="I7" i="7" s="1"/>
  <c r="F7" i="7"/>
  <c r="G6" i="7"/>
  <c r="I6" i="7" s="1"/>
  <c r="F6" i="7"/>
  <c r="H6" i="7" s="1"/>
  <c r="I5" i="7"/>
  <c r="G5" i="7"/>
  <c r="F5" i="7"/>
  <c r="H5" i="7" s="1"/>
  <c r="G4" i="7"/>
  <c r="I4" i="7" s="1"/>
  <c r="F4" i="7"/>
  <c r="H4" i="7" s="1"/>
  <c r="G3" i="7"/>
  <c r="I3" i="7" s="1"/>
  <c r="F3" i="7"/>
  <c r="H3" i="7" s="1"/>
  <c r="H26" i="6"/>
  <c r="F26" i="6"/>
  <c r="E26" i="6"/>
  <c r="G26" i="6" s="1"/>
  <c r="H25" i="6"/>
  <c r="F25" i="6"/>
  <c r="E25" i="6"/>
  <c r="G25" i="6" s="1"/>
  <c r="G24" i="6"/>
  <c r="F24" i="6"/>
  <c r="H24" i="6" s="1"/>
  <c r="E24" i="6"/>
  <c r="F23" i="6"/>
  <c r="H23" i="6" s="1"/>
  <c r="E23" i="6"/>
  <c r="G23" i="6" s="1"/>
  <c r="H22" i="6"/>
  <c r="F22" i="6"/>
  <c r="E22" i="6"/>
  <c r="G22" i="6" s="1"/>
  <c r="H21" i="6"/>
  <c r="F21" i="6"/>
  <c r="E21" i="6"/>
  <c r="G21" i="6" s="1"/>
  <c r="G20" i="6"/>
  <c r="F20" i="6"/>
  <c r="H20" i="6" s="1"/>
  <c r="E20" i="6"/>
  <c r="F19" i="6"/>
  <c r="H19" i="6" s="1"/>
  <c r="E19" i="6"/>
  <c r="G19" i="6" s="1"/>
  <c r="H18" i="6"/>
  <c r="F18" i="6"/>
  <c r="E18" i="6"/>
  <c r="G18" i="6" s="1"/>
  <c r="H17" i="6"/>
  <c r="F17" i="6"/>
  <c r="E17" i="6"/>
  <c r="G17" i="6" s="1"/>
  <c r="G16" i="6"/>
  <c r="F16" i="6"/>
  <c r="H16" i="6" s="1"/>
  <c r="E16" i="6"/>
  <c r="H15" i="6"/>
  <c r="F15" i="6"/>
  <c r="E15" i="6"/>
  <c r="G15" i="6" s="1"/>
  <c r="H14" i="6"/>
  <c r="F14" i="6"/>
  <c r="E14" i="6"/>
  <c r="G14" i="6" s="1"/>
  <c r="H13" i="6"/>
  <c r="F13" i="6"/>
  <c r="E13" i="6"/>
  <c r="G13" i="6" s="1"/>
  <c r="G12" i="6"/>
  <c r="F12" i="6"/>
  <c r="H12" i="6" s="1"/>
  <c r="E12" i="6"/>
  <c r="H11" i="6"/>
  <c r="F11" i="6"/>
  <c r="E11" i="6"/>
  <c r="G11" i="6" s="1"/>
  <c r="F10" i="6"/>
  <c r="H10" i="6" s="1"/>
  <c r="E10" i="6"/>
  <c r="G10" i="6" s="1"/>
  <c r="H9" i="6"/>
  <c r="F9" i="6"/>
  <c r="E9" i="6"/>
  <c r="G9" i="6" s="1"/>
  <c r="F8" i="6"/>
  <c r="H8" i="6" s="1"/>
  <c r="E8" i="6"/>
  <c r="G8" i="6" s="1"/>
  <c r="H7" i="6"/>
  <c r="F7" i="6"/>
  <c r="E7" i="6"/>
  <c r="G7" i="6" s="1"/>
  <c r="F6" i="6"/>
  <c r="H6" i="6" s="1"/>
  <c r="E6" i="6"/>
  <c r="G6" i="6" s="1"/>
  <c r="F5" i="6"/>
  <c r="H5" i="6" s="1"/>
  <c r="E5" i="6"/>
  <c r="G5" i="6" s="1"/>
  <c r="F4" i="6"/>
  <c r="H4" i="6" s="1"/>
  <c r="E4" i="6"/>
  <c r="G4" i="6" s="1"/>
  <c r="F3" i="6"/>
  <c r="H3" i="6" s="1"/>
  <c r="E3" i="6"/>
  <c r="G3" i="6" s="1"/>
  <c r="E7" i="5"/>
  <c r="G7" i="5" s="1"/>
  <c r="F7" i="5"/>
  <c r="H7" i="5" s="1"/>
  <c r="E5" i="5"/>
  <c r="G5" i="5" s="1"/>
  <c r="F5" i="5"/>
  <c r="H5" i="5" s="1"/>
  <c r="F26" i="5"/>
  <c r="H26" i="5" s="1"/>
  <c r="E26" i="5"/>
  <c r="G26" i="5" s="1"/>
  <c r="F25" i="5"/>
  <c r="H25" i="5" s="1"/>
  <c r="E25" i="5"/>
  <c r="G25" i="5" s="1"/>
  <c r="F24" i="5"/>
  <c r="H24" i="5" s="1"/>
  <c r="E24" i="5"/>
  <c r="G24" i="5" s="1"/>
  <c r="F23" i="5"/>
  <c r="H23" i="5" s="1"/>
  <c r="E23" i="5"/>
  <c r="G23" i="5" s="1"/>
  <c r="F22" i="5"/>
  <c r="H22" i="5" s="1"/>
  <c r="E22" i="5"/>
  <c r="G22" i="5" s="1"/>
  <c r="F21" i="5"/>
  <c r="H21" i="5" s="1"/>
  <c r="E21" i="5"/>
  <c r="G21" i="5" s="1"/>
  <c r="F20" i="5"/>
  <c r="H20" i="5" s="1"/>
  <c r="E20" i="5"/>
  <c r="G20" i="5" s="1"/>
  <c r="F19" i="5"/>
  <c r="H19" i="5" s="1"/>
  <c r="E19" i="5"/>
  <c r="G19" i="5" s="1"/>
  <c r="F18" i="5"/>
  <c r="H18" i="5" s="1"/>
  <c r="E18" i="5"/>
  <c r="G18" i="5" s="1"/>
  <c r="F17" i="5"/>
  <c r="H17" i="5" s="1"/>
  <c r="E17" i="5"/>
  <c r="G17" i="5" s="1"/>
  <c r="F16" i="5"/>
  <c r="H16" i="5" s="1"/>
  <c r="E16" i="5"/>
  <c r="G16" i="5" s="1"/>
  <c r="H15" i="5"/>
  <c r="F15" i="5"/>
  <c r="E15" i="5"/>
  <c r="G15" i="5" s="1"/>
  <c r="F14" i="5"/>
  <c r="H14" i="5" s="1"/>
  <c r="E14" i="5"/>
  <c r="G14" i="5" s="1"/>
  <c r="F13" i="5"/>
  <c r="H13" i="5" s="1"/>
  <c r="E13" i="5"/>
  <c r="G13" i="5" s="1"/>
  <c r="F12" i="5"/>
  <c r="H12" i="5" s="1"/>
  <c r="E12" i="5"/>
  <c r="G12" i="5" s="1"/>
  <c r="F11" i="5"/>
  <c r="H11" i="5" s="1"/>
  <c r="E11" i="5"/>
  <c r="G11" i="5" s="1"/>
  <c r="F10" i="5"/>
  <c r="H10" i="5" s="1"/>
  <c r="E10" i="5"/>
  <c r="G10" i="5" s="1"/>
  <c r="F9" i="5"/>
  <c r="H9" i="5" s="1"/>
  <c r="E9" i="5"/>
  <c r="G9" i="5" s="1"/>
  <c r="F8" i="5"/>
  <c r="H8" i="5" s="1"/>
  <c r="E8" i="5"/>
  <c r="G8" i="5" s="1"/>
  <c r="F6" i="5"/>
  <c r="H6" i="5" s="1"/>
  <c r="E6" i="5"/>
  <c r="G6" i="5" s="1"/>
  <c r="F4" i="5"/>
  <c r="H4" i="5" s="1"/>
  <c r="E4" i="5"/>
  <c r="G4" i="5" s="1"/>
  <c r="F3" i="5"/>
  <c r="H3" i="5" s="1"/>
  <c r="E3" i="5"/>
  <c r="G3" i="5" s="1"/>
  <c r="E3" i="3"/>
  <c r="E4" i="3"/>
  <c r="E5" i="3"/>
  <c r="E6" i="3"/>
  <c r="G6" i="3" s="1"/>
  <c r="E7" i="3"/>
  <c r="G7" i="3" s="1"/>
  <c r="E8" i="3"/>
  <c r="G8" i="3" s="1"/>
  <c r="E9" i="3"/>
  <c r="G9" i="3" s="1"/>
  <c r="E10" i="3"/>
  <c r="E11" i="3"/>
  <c r="E12" i="3"/>
  <c r="E13" i="3"/>
  <c r="E14" i="3"/>
  <c r="G14" i="3" s="1"/>
  <c r="E15" i="3"/>
  <c r="G15" i="3" s="1"/>
  <c r="E16" i="3"/>
  <c r="E17" i="3"/>
  <c r="G17" i="3" s="1"/>
  <c r="E18" i="3"/>
  <c r="G18" i="3" s="1"/>
  <c r="E19" i="3"/>
  <c r="E20" i="3"/>
  <c r="E21" i="3"/>
  <c r="E22" i="3"/>
  <c r="E23" i="3"/>
  <c r="G23" i="3" s="1"/>
  <c r="E24" i="3"/>
  <c r="E25" i="3"/>
  <c r="G25" i="3" s="1"/>
  <c r="D3" i="3"/>
  <c r="D4" i="3"/>
  <c r="D5" i="3"/>
  <c r="D6" i="3"/>
  <c r="F6" i="3" s="1"/>
  <c r="D7" i="3"/>
  <c r="F7" i="3" s="1"/>
  <c r="D8" i="3"/>
  <c r="F8" i="3" s="1"/>
  <c r="D9" i="3"/>
  <c r="D10" i="3"/>
  <c r="D11" i="3"/>
  <c r="F11" i="3" s="1"/>
  <c r="D12" i="3"/>
  <c r="D13" i="3"/>
  <c r="D14" i="3"/>
  <c r="D15" i="3"/>
  <c r="F15" i="3" s="1"/>
  <c r="D16" i="3"/>
  <c r="F16" i="3" s="1"/>
  <c r="D17" i="3"/>
  <c r="F17" i="3" s="1"/>
  <c r="D18" i="3"/>
  <c r="D19" i="3"/>
  <c r="D20" i="3"/>
  <c r="D21" i="3"/>
  <c r="D22" i="3"/>
  <c r="D23" i="3"/>
  <c r="F23" i="3" s="1"/>
  <c r="D24" i="3"/>
  <c r="F24" i="3" s="1"/>
  <c r="D25" i="3"/>
  <c r="G13" i="3"/>
  <c r="G21" i="3"/>
  <c r="F4" i="3"/>
  <c r="F14" i="3"/>
  <c r="F22" i="3"/>
  <c r="F25" i="3"/>
  <c r="G3" i="3"/>
  <c r="G4" i="3"/>
  <c r="G5" i="3"/>
  <c r="G10" i="3"/>
  <c r="G11" i="3"/>
  <c r="G12" i="3"/>
  <c r="G16" i="3"/>
  <c r="G19" i="3"/>
  <c r="G20" i="3"/>
  <c r="G22" i="3"/>
  <c r="G24" i="3"/>
  <c r="F3" i="3"/>
  <c r="F5" i="3"/>
  <c r="F9" i="3"/>
  <c r="F10" i="3"/>
  <c r="F12" i="3"/>
  <c r="F13" i="3"/>
  <c r="F18" i="3"/>
  <c r="F19" i="3"/>
  <c r="F20" i="3"/>
  <c r="F21" i="3"/>
  <c r="J24" i="9" a="1"/>
  <c r="J20" i="9" a="1"/>
  <c r="J16" i="9" a="1"/>
  <c r="J13" i="9" a="1"/>
  <c r="J9" i="9" a="1"/>
  <c r="J6" i="9" a="1"/>
  <c r="J21" i="9" a="1"/>
  <c r="J17" i="9" a="1"/>
  <c r="J10" i="9" a="1"/>
  <c r="J3" i="9" a="1"/>
  <c r="J22" i="9" a="1"/>
  <c r="J18" i="9" a="1"/>
  <c r="J14" i="9" a="1"/>
  <c r="J11" i="9" a="1"/>
  <c r="J7" i="9" a="1"/>
  <c r="J4" i="9" a="1"/>
  <c r="J23" i="9" a="1"/>
  <c r="J19" i="9" a="1"/>
  <c r="J15" i="9" a="1"/>
  <c r="J12" i="9" a="1"/>
  <c r="J8" i="9" a="1"/>
  <c r="J5" i="9" a="1"/>
  <c r="J3" i="8" a="1"/>
  <c r="J24" i="8" a="1"/>
  <c r="J20" i="8" a="1"/>
  <c r="J16" i="8" a="1"/>
  <c r="J10" i="8" a="1"/>
  <c r="J6" i="8" a="1"/>
  <c r="J11" i="8" a="1"/>
  <c r="J7" i="8" a="1"/>
  <c r="J22" i="8" a="1"/>
  <c r="J18" i="8" a="1"/>
  <c r="J14" i="8" a="1"/>
  <c r="J12" i="8" a="1"/>
  <c r="J8" i="8" a="1"/>
  <c r="J4" i="8" a="1"/>
  <c r="J21" i="8" a="1"/>
  <c r="J17" i="8" a="1"/>
  <c r="J23" i="8" a="1"/>
  <c r="J19" i="8" a="1"/>
  <c r="J15" i="8" a="1"/>
  <c r="J9" i="8" a="1"/>
  <c r="J5" i="8" a="1"/>
  <c r="J13" i="8" a="1"/>
  <c r="J3" i="7" a="1"/>
  <c r="J7" i="7" a="1"/>
  <c r="J11" i="7" a="1"/>
  <c r="J24" i="7" a="1"/>
  <c r="J6" i="7" a="1"/>
  <c r="H19" i="3" a="1"/>
  <c r="I26" i="6" a="1"/>
  <c r="I12" i="6" a="1"/>
  <c r="I19" i="6" a="1"/>
  <c r="I5" i="5" a="1"/>
  <c r="I13" i="5" a="1"/>
  <c r="I13" i="6" a="1"/>
  <c r="H16" i="3" a="1"/>
  <c r="I16" i="5" a="1"/>
  <c r="I26" i="5" a="1"/>
  <c r="I8" i="6" a="1"/>
  <c r="H15" i="3" a="1"/>
  <c r="J10" i="7" a="1"/>
  <c r="J15" i="7" a="1"/>
  <c r="J21" i="7" a="1"/>
  <c r="J14" i="7" a="1"/>
  <c r="I18" i="6" a="1"/>
  <c r="I4" i="5" a="1"/>
  <c r="I6" i="5" a="1"/>
  <c r="H23" i="3" a="1"/>
  <c r="H21" i="3" a="1"/>
  <c r="I9" i="5" a="1"/>
  <c r="I18" i="5" a="1"/>
  <c r="H11" i="3" a="1"/>
  <c r="I23" i="6" a="1"/>
  <c r="H17" i="3" a="1"/>
  <c r="I4" i="6" a="1"/>
  <c r="I8" i="5" a="1"/>
  <c r="H22" i="3" a="1"/>
  <c r="I17" i="6" a="1"/>
  <c r="J23" i="7" a="1"/>
  <c r="J5" i="7" a="1"/>
  <c r="J18" i="7" a="1"/>
  <c r="I15" i="6" a="1"/>
  <c r="I22" i="6" a="1"/>
  <c r="I15" i="5" a="1"/>
  <c r="H9" i="3" a="1"/>
  <c r="H3" i="3" a="1"/>
  <c r="I10" i="5" a="1"/>
  <c r="I22" i="5" a="1"/>
  <c r="H5" i="3" a="1"/>
  <c r="I20" i="5" a="1"/>
  <c r="J25" i="7" a="1"/>
  <c r="I5" i="6" a="1"/>
  <c r="I11" i="6" a="1"/>
  <c r="I14" i="5" a="1"/>
  <c r="J8" i="7" a="1"/>
  <c r="J9" i="7" a="1"/>
  <c r="J22" i="7" a="1"/>
  <c r="I16" i="6" a="1"/>
  <c r="H7" i="3" a="1"/>
  <c r="I23" i="5" a="1"/>
  <c r="H13" i="3" a="1"/>
  <c r="H25" i="3" a="1"/>
  <c r="H20" i="3" a="1"/>
  <c r="I11" i="5" a="1"/>
  <c r="I9" i="6" a="1"/>
  <c r="H10" i="3" a="1"/>
  <c r="I14" i="6" a="1"/>
  <c r="I24" i="5" a="1"/>
  <c r="J4" i="7" a="1"/>
  <c r="J13" i="7" a="1"/>
  <c r="J26" i="7" a="1"/>
  <c r="I19" i="5" a="1"/>
  <c r="H24" i="3" a="1"/>
  <c r="I7" i="5" a="1"/>
  <c r="I10" i="6" a="1"/>
  <c r="I6" i="6" a="1"/>
  <c r="H6" i="3" a="1"/>
  <c r="H4" i="3" a="1"/>
  <c r="I21" i="6" a="1"/>
  <c r="I20" i="6" a="1"/>
  <c r="I24" i="6" a="1"/>
  <c r="I12" i="5" a="1"/>
  <c r="I17" i="5" a="1"/>
  <c r="J12" i="7" a="1"/>
  <c r="J17" i="7" a="1"/>
  <c r="J19" i="7" a="1"/>
  <c r="I21" i="5" a="1"/>
  <c r="H8" i="3" a="1"/>
  <c r="H18" i="3" a="1"/>
  <c r="I7" i="6" a="1"/>
  <c r="I3" i="6" a="1"/>
  <c r="H12" i="3" a="1"/>
  <c r="I3" i="5" a="1"/>
  <c r="I25" i="6" a="1"/>
  <c r="J16" i="7" a="1"/>
  <c r="J20" i="7" a="1"/>
  <c r="H14" i="3" a="1"/>
  <c r="I25" i="5" a="1"/>
  <c r="J5" i="9" l="1"/>
  <c r="J8" i="9"/>
  <c r="J12" i="9"/>
  <c r="J15" i="9"/>
  <c r="J19" i="9"/>
  <c r="J23" i="9"/>
  <c r="J4" i="9"/>
  <c r="J7" i="9"/>
  <c r="J11" i="9"/>
  <c r="J14" i="9"/>
  <c r="J18" i="9"/>
  <c r="J22" i="9"/>
  <c r="J3" i="9"/>
  <c r="J10" i="9"/>
  <c r="J17" i="9"/>
  <c r="J21" i="9"/>
  <c r="J6" i="9"/>
  <c r="J9" i="9"/>
  <c r="J13" i="9"/>
  <c r="J16" i="9"/>
  <c r="J20" i="9"/>
  <c r="J24" i="9"/>
  <c r="J13" i="8"/>
  <c r="J5" i="8"/>
  <c r="J9" i="8"/>
  <c r="J15" i="8"/>
  <c r="J19" i="8"/>
  <c r="J23" i="8"/>
  <c r="J17" i="8"/>
  <c r="J21" i="8"/>
  <c r="J4" i="8"/>
  <c r="J8" i="8"/>
  <c r="J12" i="8"/>
  <c r="J14" i="8"/>
  <c r="J18" i="8"/>
  <c r="J22" i="8"/>
  <c r="J7" i="8"/>
  <c r="J11" i="8"/>
  <c r="J6" i="8"/>
  <c r="J10" i="8"/>
  <c r="J16" i="8"/>
  <c r="J20" i="8"/>
  <c r="J24" i="8"/>
  <c r="J3" i="8"/>
  <c r="J19" i="7"/>
  <c r="J26" i="7"/>
  <c r="J22" i="7"/>
  <c r="J18" i="7"/>
  <c r="J14" i="7"/>
  <c r="J6" i="7"/>
  <c r="J10" i="7"/>
  <c r="J25" i="7"/>
  <c r="J17" i="7"/>
  <c r="J13" i="7"/>
  <c r="J9" i="7"/>
  <c r="J5" i="7"/>
  <c r="J21" i="7"/>
  <c r="J24" i="7"/>
  <c r="J20" i="7"/>
  <c r="J16" i="7"/>
  <c r="J12" i="7"/>
  <c r="J4" i="7"/>
  <c r="J8" i="7"/>
  <c r="J23" i="7"/>
  <c r="J15" i="7"/>
  <c r="J11" i="7"/>
  <c r="J7" i="7"/>
  <c r="J3" i="7"/>
  <c r="I25" i="6"/>
  <c r="I13" i="6"/>
  <c r="I4" i="6"/>
  <c r="I8" i="6"/>
  <c r="I12" i="6"/>
  <c r="I16" i="6"/>
  <c r="I20" i="6"/>
  <c r="I24" i="6"/>
  <c r="I21" i="6"/>
  <c r="I17" i="6"/>
  <c r="I3" i="6"/>
  <c r="I7" i="6"/>
  <c r="I11" i="6"/>
  <c r="I15" i="6"/>
  <c r="I19" i="6"/>
  <c r="I23" i="6"/>
  <c r="I9" i="6"/>
  <c r="I5" i="6"/>
  <c r="I6" i="6"/>
  <c r="I10" i="6"/>
  <c r="I14" i="6"/>
  <c r="I18" i="6"/>
  <c r="I22" i="6"/>
  <c r="I26" i="6"/>
  <c r="I3" i="5"/>
  <c r="I5" i="5"/>
  <c r="I19" i="5"/>
  <c r="I15" i="5"/>
  <c r="I11" i="5"/>
  <c r="I23" i="5"/>
  <c r="I26" i="5"/>
  <c r="I22" i="5"/>
  <c r="I18" i="5"/>
  <c r="I14" i="5"/>
  <c r="I10" i="5"/>
  <c r="I6" i="5"/>
  <c r="I9" i="5"/>
  <c r="I25" i="5"/>
  <c r="I17" i="5"/>
  <c r="I13" i="5"/>
  <c r="I21" i="5"/>
  <c r="I24" i="5"/>
  <c r="I20" i="5"/>
  <c r="I16" i="5"/>
  <c r="I12" i="5"/>
  <c r="I8" i="5"/>
  <c r="I4" i="5"/>
  <c r="I7" i="5"/>
  <c r="H8" i="3"/>
  <c r="H7" i="3"/>
  <c r="H9" i="3"/>
  <c r="H6" i="3"/>
  <c r="H5" i="3"/>
  <c r="H4" i="3"/>
  <c r="H3" i="3"/>
  <c r="H10" i="3"/>
  <c r="H14" i="3"/>
  <c r="H18" i="3"/>
  <c r="H24" i="3"/>
  <c r="H12" i="3"/>
  <c r="H16" i="3"/>
  <c r="H20" i="3"/>
  <c r="H22" i="3"/>
  <c r="H11" i="3"/>
  <c r="H15" i="3"/>
  <c r="H19" i="3"/>
  <c r="H25" i="3"/>
  <c r="H13" i="3"/>
  <c r="H17" i="3"/>
  <c r="H21" i="3"/>
  <c r="H2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<sst xmlns="http://schemas.openxmlformats.org/spreadsheetml/2006/main" count="162" uniqueCount="27">
  <si>
    <t>Punkte</t>
  </si>
  <si>
    <t>x</t>
  </si>
  <si>
    <t>y</t>
  </si>
  <si>
    <t>A0</t>
  </si>
  <si>
    <t>B0</t>
  </si>
  <si>
    <t>C</t>
  </si>
  <si>
    <t>D</t>
  </si>
  <si>
    <t>D0</t>
  </si>
  <si>
    <t>B</t>
  </si>
  <si>
    <t>Spalte1</t>
  </si>
  <si>
    <t>A</t>
  </si>
  <si>
    <t>Skalierung:</t>
  </si>
  <si>
    <t>x skaliert</t>
  </si>
  <si>
    <t>y skaliert</t>
  </si>
  <si>
    <t>x2</t>
  </si>
  <si>
    <t>y2</t>
  </si>
  <si>
    <t>B02</t>
  </si>
  <si>
    <t>Hide?</t>
  </si>
  <si>
    <t>E</t>
  </si>
  <si>
    <t>F</t>
  </si>
  <si>
    <t>F0</t>
  </si>
  <si>
    <t>phi_an=32°</t>
  </si>
  <si>
    <t>idloc</t>
  </si>
  <si>
    <t>w</t>
  </si>
  <si>
    <t>e</t>
  </si>
  <si>
    <t>G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</si>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</sst>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NumberFormat="1"/>
    <xf numFmtId="0" fontId="0" fillId="0" borderId="1" xfId="0" applyBorder="1"/>
    <xf numFmtId="2" fontId="0" fillId="0" borderId="2" xfId="0" applyNumberFormat="1" applyBorder="1"/>
    <xf numFmtId="0" fontId="0" fillId="2" borderId="1" xfId="0" applyFill="1" applyBorder="1"/>
    <xf numFmtId="2" fontId="0" fillId="2" borderId="2" xfId="0" applyNumberFormat="1" applyFill="1" applyBorder="1"/>
  </cellXfs>
  <cellStyles count="1">
    <cellStyle name="Standard" xfId="0" builtinId="0"/>
  </cellStyles>
  <dxfs count="30">
    <dxf>
      <numFmt numFmtId="0" formatCode="General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5</xdr:row>
      <xdr:rowOff>0</xdr:rowOff>
    </xdr:from>
    <xdr:to>
      <xdr:col>27</xdr:col>
      <xdr:colOff>438150</xdr:colOff>
      <xdr:row>34</xdr:row>
      <xdr:rowOff>161925</xdr:rowOff>
    </xdr:to>
    <xdr:pic>
      <xdr:nvPicPr>
        <xdr:cNvPr id="2" name="Grafik 1" descr="https://www.tu-chemnitz.de/mb/MHT/Getriebebibliothek/Mechanismen/Daten/Aufgabe_0077/Aufgabe_0077.jpg">
          <a:extLst>
            <a:ext uri="{FF2B5EF4-FFF2-40B4-BE49-F238E27FC236}">
              <a16:creationId xmlns:a16="http://schemas.microsoft.com/office/drawing/2014/main" id="{44B71221-FE07-4493-9DED-02F66AB936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25275" y="952500"/>
          <a:ext cx="10191750" cy="5686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EED8C1-EC67-406B-8968-05729DDF94DC}" name="Tabelle14" displayName="Tabelle14" ref="A2:H25" totalsRowShown="0">
  <autoFilter ref="A2:H25" xr:uid="{17F8605A-37AB-48A3-A5F0-10514E4A8482}"/>
  <tableColumns count="8">
    <tableColumn id="1" xr3:uid="{583EF1A8-3530-4F3F-8921-2CE02DD208C8}" name="Punkte"/>
    <tableColumn id="2" xr3:uid="{9D455E0B-FF1F-47C4-BE04-F61F01499F6D}" name="x"/>
    <tableColumn id="3" xr3:uid="{7765E460-9AC9-4D12-B52D-6E893F1AA8ED}" name="y"/>
    <tableColumn id="8" xr3:uid="{BA99537A-B02C-435F-AB32-17F0A0DF0125}" name="x2" dataDxfId="29">
      <calculatedColumnFormula>Tabelle14[[#This Row],[x]]-0</calculatedColumnFormula>
    </tableColumn>
    <tableColumn id="7" xr3:uid="{6BAFD64F-DF62-41E9-804B-8CC2D45E745F}" name="y2" dataDxfId="28">
      <calculatedColumnFormula>Tabelle14[[#This Row],[y]]+0</calculatedColumnFormula>
    </tableColumn>
    <tableColumn id="6" xr3:uid="{2512D2BC-AAE1-47A8-80C6-E9CDFD4A95A5}" name="x skaliert" dataDxfId="27">
      <calculatedColumnFormula>Tabelle14[[#This Row],[x2]]*$B$1</calculatedColumnFormula>
    </tableColumn>
    <tableColumn id="5" xr3:uid="{3F252EB7-D285-4152-815B-ABD968814963}" name="y skaliert" dataDxfId="26">
      <calculatedColumnFormula>Tabelle14[[#This Row],[y2]]*$B$1</calculatedColumnFormula>
    </tableColumn>
    <tableColumn id="4" xr3:uid="{C9E13EA3-D74D-451A-8FBC-ADE6EDF4806C}" name="Spalte1" dataDxfId="25">
      <calculatedColumnFormula array="1">toJson(Tabelle14[[#This Row],[Punkte]],Tabelle14[[#This Row],[x skaliert]],Tabelle14[[#This Row],[y skaliert]])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B4D294-6050-447E-9FF9-250292921FED}" name="Tabelle142" displayName="Tabelle142" ref="A2:I26" totalsRowShown="0">
  <autoFilter ref="A2:I26" xr:uid="{17F8605A-37AB-48A3-A5F0-10514E4A8482}"/>
  <tableColumns count="9">
    <tableColumn id="1" xr3:uid="{F0621503-82E4-49DB-9169-4B64AE5E6EC6}" name="Punkte"/>
    <tableColumn id="2" xr3:uid="{BEC92C3B-F7AC-411E-883C-7B83B1E6C8F0}" name="x"/>
    <tableColumn id="3" xr3:uid="{9E547544-ED01-4C9D-83E4-D313B4E65E9D}" name="y"/>
    <tableColumn id="10" xr3:uid="{D0ED8906-2351-4F72-A092-9FF9A40B39AB}" name="Hide?"/>
    <tableColumn id="8" xr3:uid="{87554A9E-CB7A-4600-A07D-107934C6349D}" name="x2" dataDxfId="24">
      <calculatedColumnFormula>Tabelle142[[#This Row],[x]]-0</calculatedColumnFormula>
    </tableColumn>
    <tableColumn id="7" xr3:uid="{59A80727-A402-4F6D-8594-4AA7B08C1390}" name="y2" dataDxfId="23">
      <calculatedColumnFormula>Tabelle142[[#This Row],[y]]+0</calculatedColumnFormula>
    </tableColumn>
    <tableColumn id="6" xr3:uid="{3D3E66D1-1760-4E0F-9E08-EA7771EDE442}" name="x skaliert" dataDxfId="22">
      <calculatedColumnFormula>Tabelle142[[#This Row],[x2]]*$B$1</calculatedColumnFormula>
    </tableColumn>
    <tableColumn id="5" xr3:uid="{889F61D7-9F4E-49D1-8D04-B6E622E92246}" name="y skaliert" dataDxfId="21">
      <calculatedColumnFormula>Tabelle142[[#This Row],[y2]]*$B$1</calculatedColumnFormula>
    </tableColumn>
    <tableColumn id="4" xr3:uid="{C78597F3-AC2F-4DD5-B340-ED9C3D47E62D}" name="Spalte1" dataDxfId="20">
      <calculatedColumnFormula array="1">toJson(Tabelle142[[#This Row],[Punkte]],Tabelle142[[#This Row],[x skaliert]],Tabelle142[[#This Row],[y skaliert]],Tabelle142[[#This Row],[Hide?]])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79D980-FF03-4739-8101-2710A98F1215}" name="Tabelle1423" displayName="Tabelle1423" ref="A2:I26" totalsRowShown="0">
  <autoFilter ref="A2:I26" xr:uid="{17F8605A-37AB-48A3-A5F0-10514E4A8482}"/>
  <tableColumns count="9">
    <tableColumn id="1" xr3:uid="{EEA711EB-422C-4F04-833B-F9B7AE71266A}" name="Punkte"/>
    <tableColumn id="2" xr3:uid="{BB60A21B-5E62-445E-9832-A792CF537A88}" name="x"/>
    <tableColumn id="3" xr3:uid="{4702F862-6D0D-4311-9621-5A527A9F6F70}" name="y"/>
    <tableColumn id="10" xr3:uid="{79B4BAD6-8E73-4F79-918C-F61BD957EAA6}" name="Hide?"/>
    <tableColumn id="8" xr3:uid="{2337FB68-8D1F-47C0-ABBB-97E2E9478B53}" name="x2" dataDxfId="19">
      <calculatedColumnFormula>Tabelle1423[[#This Row],[x]]-0</calculatedColumnFormula>
    </tableColumn>
    <tableColumn id="7" xr3:uid="{6CCEFDEE-9640-4D3C-957C-55D8242C9D30}" name="y2" dataDxfId="18">
      <calculatedColumnFormula>Tabelle1423[[#This Row],[y]]+0</calculatedColumnFormula>
    </tableColumn>
    <tableColumn id="6" xr3:uid="{0A8D7259-E370-4BFD-A3F0-3A7C03A16F84}" name="x skaliert" dataDxfId="17">
      <calculatedColumnFormula>Tabelle1423[[#This Row],[x2]]*$B$1</calculatedColumnFormula>
    </tableColumn>
    <tableColumn id="5" xr3:uid="{57FDCF53-33D0-40BA-BBE1-CEF915F31EDA}" name="y skaliert" dataDxfId="16">
      <calculatedColumnFormula>Tabelle1423[[#This Row],[y2]]*$B$1</calculatedColumnFormula>
    </tableColumn>
    <tableColumn id="4" xr3:uid="{57B2317D-2F1E-4C11-8D8C-9D8FECED2362}" name="Spalte1" dataDxfId="15">
      <calculatedColumnFormula array="1">toJson(Tabelle1423[[#This Row],[Punkte]],Tabelle1423[[#This Row],[x skaliert]],Tabelle1423[[#This Row],[y skaliert]],Tabelle1423[[#This Row],[Hide?]])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9CB6D7-B953-44D0-8AE2-6805DECADCB9}" name="Tabelle14235" displayName="Tabelle14235" ref="A2:J26" totalsRowShown="0">
  <autoFilter ref="A2:J26" xr:uid="{17F8605A-37AB-48A3-A5F0-10514E4A8482}"/>
  <tableColumns count="10">
    <tableColumn id="1" xr3:uid="{C2548579-BFE1-4321-BA96-6FB0B2B78505}" name="Punkte"/>
    <tableColumn id="2" xr3:uid="{6A30A194-D310-4166-8F5E-8474EE16D8FF}" name="x"/>
    <tableColumn id="3" xr3:uid="{8421ABA8-ADFC-4D19-BEDF-2529D2174E5C}" name="y"/>
    <tableColumn id="10" xr3:uid="{4748ACB9-E392-4F96-AD11-36FD3F6CEEDC}" name="Hide?"/>
    <tableColumn id="9" xr3:uid="{5AC69715-5D5C-4251-81FF-A34068EEC118}" name="idloc"/>
    <tableColumn id="8" xr3:uid="{638568AA-4C57-46E1-9A42-013C26B46592}" name="x2" dataDxfId="14">
      <calculatedColumnFormula>Tabelle14235[[#This Row],[x]]-0</calculatedColumnFormula>
    </tableColumn>
    <tableColumn id="7" xr3:uid="{891E6004-48EE-428A-A47E-E7D86671088D}" name="y2" dataDxfId="13">
      <calculatedColumnFormula>Tabelle14235[[#This Row],[y]]+0</calculatedColumnFormula>
    </tableColumn>
    <tableColumn id="6" xr3:uid="{6916C72D-99BF-41D6-BB18-EA225BBA88A8}" name="x skaliert" dataDxfId="12">
      <calculatedColumnFormula>Tabelle14235[[#This Row],[x2]]*$B$1</calculatedColumnFormula>
    </tableColumn>
    <tableColumn id="5" xr3:uid="{272A3283-B4D4-461B-80E7-FA39AEF4CA64}" name="y skaliert" dataDxfId="11">
      <calculatedColumnFormula>Tabelle14235[[#This Row],[y2]]*$B$1</calculatedColumnFormula>
    </tableColumn>
    <tableColumn id="4" xr3:uid="{E5FAE0D5-B68D-45D9-9C10-1AA41DEFB3A8}" name="Spalte1" dataDxfId="10">
      <calculatedColumnFormula array="1">toJson(Tabelle14235[[#This Row],[Punkte]],Tabelle14235[[#This Row],[x skaliert]],Tabelle14235[[#This Row],[y skaliert]],Tabelle14235[[#This Row],[Hide?]],Tabelle14235[[#This Row],[idloc]])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B1001D-8C28-428A-B934-F63FBF8EC37E}" name="Tabelle142357" displayName="Tabelle142357" ref="A2:J24" totalsRowShown="0">
  <autoFilter ref="A2:J24" xr:uid="{17F8605A-37AB-48A3-A5F0-10514E4A8482}"/>
  <tableColumns count="10">
    <tableColumn id="1" xr3:uid="{0A1A0C4B-CB1C-4BC5-A191-4CADA4C3895D}" name="Punkte"/>
    <tableColumn id="2" xr3:uid="{3A5C637C-938B-44C1-B12F-23035D1F249A}" name="x"/>
    <tableColumn id="3" xr3:uid="{23B31456-399C-4E26-BFDB-AB74BB1B96E8}" name="y"/>
    <tableColumn id="10" xr3:uid="{77B383AE-353B-42A6-888E-65E92B88AD16}" name="Hide?"/>
    <tableColumn id="9" xr3:uid="{60CE3F93-F393-48CA-9EC7-9DD3278B2CC7}" name="idloc"/>
    <tableColumn id="8" xr3:uid="{CEFCD3FB-7B62-4E69-959E-10F1815EEF9F}" name="x2" dataDxfId="4">
      <calculatedColumnFormula>Tabelle142357[[#This Row],[x]]-0</calculatedColumnFormula>
    </tableColumn>
    <tableColumn id="7" xr3:uid="{3969C23F-F2DB-4F4A-9373-DCBBB6CC32EE}" name="y2" dataDxfId="3">
      <calculatedColumnFormula>Tabelle142357[[#This Row],[y]]+0</calculatedColumnFormula>
    </tableColumn>
    <tableColumn id="6" xr3:uid="{1357B9AA-D9A7-4DC3-A3B4-1324E2DC1916}" name="x skaliert" dataDxfId="2">
      <calculatedColumnFormula>Tabelle142357[[#This Row],[x2]]*$B$1</calculatedColumnFormula>
    </tableColumn>
    <tableColumn id="5" xr3:uid="{FEE17439-A2B4-4573-B6D4-D0D284C82C5A}" name="y skaliert" dataDxfId="1">
      <calculatedColumnFormula>Tabelle142357[[#This Row],[y2]]*$B$1</calculatedColumnFormula>
    </tableColumn>
    <tableColumn id="4" xr3:uid="{716A0960-ED66-4672-9341-FAEE7A73F8B6}" name="Spalte1" dataDxfId="0">
      <calculatedColumnFormula array="1">toJson(Tabelle142357[[#This Row],[Punkte]],Tabelle142357[[#This Row],[x skaliert]],Tabelle142357[[#This Row],[y skaliert]],Tabelle142357[[#This Row],[Hide?]],Tabelle142357[[#This Row],[idloc]])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24B867E-FE3F-4207-B714-44A7027D4202}" name="Tabelle142356" displayName="Tabelle142356" ref="A2:J24" totalsRowShown="0">
  <autoFilter ref="A2:J24" xr:uid="{17F8605A-37AB-48A3-A5F0-10514E4A8482}"/>
  <tableColumns count="10">
    <tableColumn id="1" xr3:uid="{1C6507C7-F47A-4E9F-B977-22A404FC8F7B}" name="Punkte"/>
    <tableColumn id="2" xr3:uid="{203AA2BC-700A-48BB-AE52-DF215623AA76}" name="x"/>
    <tableColumn id="3" xr3:uid="{D5A5BC8B-B3B9-41AC-9E98-B118D30F78D2}" name="y"/>
    <tableColumn id="10" xr3:uid="{D1230E56-B48E-42FF-AD8D-F7AD06710A33}" name="Hide?"/>
    <tableColumn id="9" xr3:uid="{93156FA3-EBDF-4B36-AE0D-F8C90198887F}" name="idloc"/>
    <tableColumn id="8" xr3:uid="{D42B8298-41DA-4423-9504-95EB0E7D7C7D}" name="x2" dataDxfId="9">
      <calculatedColumnFormula>Tabelle142356[[#This Row],[x]]-0</calculatedColumnFormula>
    </tableColumn>
    <tableColumn id="7" xr3:uid="{AD51BE4A-8F12-4866-BDF6-CE92A51397F9}" name="y2" dataDxfId="8">
      <calculatedColumnFormula>Tabelle142356[[#This Row],[y]]+0</calculatedColumnFormula>
    </tableColumn>
    <tableColumn id="6" xr3:uid="{D36B068D-361E-48B1-BFD0-1B1107EE6C3B}" name="x skaliert" dataDxfId="7">
      <calculatedColumnFormula>Tabelle142356[[#This Row],[x2]]*$B$1</calculatedColumnFormula>
    </tableColumn>
    <tableColumn id="5" xr3:uid="{4761C363-03C0-4DF1-A0E2-2BBC975DBBF0}" name="y skaliert" dataDxfId="6">
      <calculatedColumnFormula>Tabelle142356[[#This Row],[y2]]*$B$1</calculatedColumnFormula>
    </tableColumn>
    <tableColumn id="4" xr3:uid="{4025386C-888F-4059-930D-B67ABE24984B}" name="Spalte1" dataDxfId="5">
      <calculatedColumnFormula array="1">toJson(Tabelle142356[[#This Row],[Punkte]],Tabelle142356[[#This Row],[x skaliert]],Tabelle142356[[#This Row],[y skaliert]],Tabelle142356[[#This Row],[Hide?]],Tabelle142356[[#This Row],[idloc]])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72E30-11D4-44A3-A92C-A8835EAA2369}">
  <sheetPr codeName="Tabelle3"/>
  <dimension ref="A1:H25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11.7109375" customWidth="1"/>
    <col min="2" max="2" width="11.85546875" customWidth="1"/>
    <col min="3" max="3" width="13" customWidth="1"/>
    <col min="6" max="6" width="11.85546875" customWidth="1"/>
    <col min="7" max="7" width="12" customWidth="1"/>
    <col min="8" max="8" width="62" customWidth="1"/>
  </cols>
  <sheetData>
    <row r="1" spans="1:8" x14ac:dyDescent="0.25">
      <c r="A1" t="s">
        <v>11</v>
      </c>
      <c r="B1" s="1">
        <v>33</v>
      </c>
    </row>
    <row r="2" spans="1:8" x14ac:dyDescent="0.25">
      <c r="A2" t="s">
        <v>0</v>
      </c>
      <c r="B2" t="s">
        <v>1</v>
      </c>
      <c r="C2" t="s">
        <v>2</v>
      </c>
      <c r="D2" t="s">
        <v>14</v>
      </c>
      <c r="E2" t="s">
        <v>15</v>
      </c>
      <c r="F2" t="s">
        <v>12</v>
      </c>
      <c r="G2" t="s">
        <v>13</v>
      </c>
      <c r="H2" t="s">
        <v>9</v>
      </c>
    </row>
    <row r="3" spans="1:8" x14ac:dyDescent="0.25">
      <c r="A3" t="s">
        <v>3</v>
      </c>
      <c r="B3" s="3">
        <v>10.46</v>
      </c>
      <c r="C3" s="3">
        <v>18.3</v>
      </c>
      <c r="D3" s="1">
        <f>Tabelle14[[#This Row],[x]]-0</f>
        <v>10.46</v>
      </c>
      <c r="E3" s="1">
        <f>Tabelle14[[#This Row],[y]]+0</f>
        <v>18.3</v>
      </c>
      <c r="F3" s="2">
        <f>Tabelle14[[#This Row],[x2]]*$B$1</f>
        <v>345.18</v>
      </c>
      <c r="G3" s="2">
        <f>Tabelle14[[#This Row],[y2]]*$B$1</f>
        <v>603.9</v>
      </c>
      <c r="H3" t="str" cm="1">
        <f t="array" ref="H3">toJson(Tabelle14[[#This Row],[Punkte]],Tabelle14[[#This Row],[x skaliert]],Tabelle14[[#This Row],[y skaliert]])</f>
        <v>{ "id" :"A0" ,"x":345.18,"y":603.9,"base":true, "optic":"FG" , "idloc":"e" },</v>
      </c>
    </row>
    <row r="4" spans="1:8" x14ac:dyDescent="0.25">
      <c r="A4" t="s">
        <v>10</v>
      </c>
      <c r="B4" s="3">
        <v>11.79</v>
      </c>
      <c r="C4" s="3">
        <v>19.87</v>
      </c>
      <c r="D4" s="1">
        <f>Tabelle14[[#This Row],[x]]-0</f>
        <v>11.79</v>
      </c>
      <c r="E4" s="1">
        <f>Tabelle14[[#This Row],[y]]+0</f>
        <v>19.87</v>
      </c>
      <c r="F4" s="2">
        <f>Tabelle14[[#This Row],[x2]]*$B$1</f>
        <v>389.07</v>
      </c>
      <c r="G4" s="2">
        <f>Tabelle14[[#This Row],[y2]]*$B$1</f>
        <v>655.71</v>
      </c>
      <c r="H4" t="str" cm="1">
        <f t="array" ref="H4">toJson(Tabelle14[[#This Row],[Punkte]],Tabelle14[[#This Row],[x skaliert]],Tabelle14[[#This Row],[y skaliert]])</f>
        <v>{ "id" :"A" ,"x":389.07,"y":655.71, "idloc":"e" },</v>
      </c>
    </row>
    <row r="5" spans="1:8" x14ac:dyDescent="0.25">
      <c r="A5" t="s">
        <v>4</v>
      </c>
      <c r="B5" s="3">
        <v>2.95</v>
      </c>
      <c r="C5" s="3">
        <v>16.8</v>
      </c>
      <c r="D5" s="1">
        <f>Tabelle14[[#This Row],[x]]-0</f>
        <v>2.95</v>
      </c>
      <c r="E5" s="1">
        <f>Tabelle14[[#This Row],[y]]+0</f>
        <v>16.8</v>
      </c>
      <c r="F5" s="2">
        <f>Tabelle14[[#This Row],[x2]]*$B$1</f>
        <v>97.350000000000009</v>
      </c>
      <c r="G5" s="2">
        <f>Tabelle14[[#This Row],[y2]]*$B$1</f>
        <v>554.4</v>
      </c>
      <c r="H5" t="str" cm="1">
        <f t="array" ref="H5">toJson(Tabelle14[[#This Row],[Punkte]],Tabelle14[[#This Row],[x skaliert]],Tabelle14[[#This Row],[y skaliert]])</f>
        <v>{ "id" :"B0" ,"x":97.35,"y":554.4,"base":true, "optic":"FG" , "idloc":"e" },</v>
      </c>
    </row>
    <row r="6" spans="1:8" x14ac:dyDescent="0.25">
      <c r="A6" t="s">
        <v>8</v>
      </c>
      <c r="B6" s="3">
        <v>6.65</v>
      </c>
      <c r="C6" s="3">
        <v>20.25</v>
      </c>
      <c r="D6" s="1">
        <f>Tabelle14[[#This Row],[x]]-0</f>
        <v>6.65</v>
      </c>
      <c r="E6" s="1">
        <f>Tabelle14[[#This Row],[y]]+0</f>
        <v>20.25</v>
      </c>
      <c r="F6" s="2">
        <f>Tabelle14[[#This Row],[x2]]*$B$1</f>
        <v>219.45000000000002</v>
      </c>
      <c r="G6" s="2">
        <f>Tabelle14[[#This Row],[y2]]*$B$1</f>
        <v>668.25</v>
      </c>
      <c r="H6" t="str" cm="1">
        <f t="array" ref="H6">toJson(Tabelle14[[#This Row],[Punkte]],Tabelle14[[#This Row],[x skaliert]],Tabelle14[[#This Row],[y skaliert]])</f>
        <v>{ "id" :"B" ,"x":219.45,"y":668.25, "idloc":"e" },</v>
      </c>
    </row>
    <row r="7" spans="1:8" x14ac:dyDescent="0.25">
      <c r="A7" t="s">
        <v>5</v>
      </c>
      <c r="B7" s="3">
        <v>14.72</v>
      </c>
      <c r="C7" s="3">
        <v>16.36</v>
      </c>
      <c r="D7" s="1">
        <f>Tabelle14[[#This Row],[x]]-0</f>
        <v>14.72</v>
      </c>
      <c r="E7" s="1">
        <f>Tabelle14[[#This Row],[y]]+0</f>
        <v>16.36</v>
      </c>
      <c r="F7" s="2">
        <f>Tabelle14[[#This Row],[x2]]*$B$1</f>
        <v>485.76000000000005</v>
      </c>
      <c r="G7" s="2">
        <f>Tabelle14[[#This Row],[y2]]*$B$1</f>
        <v>539.88</v>
      </c>
      <c r="H7" t="str" cm="1">
        <f t="array" ref="H7">toJson(Tabelle14[[#This Row],[Punkte]],Tabelle14[[#This Row],[x skaliert]],Tabelle14[[#This Row],[y skaliert]])</f>
        <v>{ "id" :"C" ,"x":485.76,"y":539.88, "idloc":"e" },</v>
      </c>
    </row>
    <row r="8" spans="1:8" x14ac:dyDescent="0.25">
      <c r="A8" t="s">
        <v>6</v>
      </c>
      <c r="B8" s="3">
        <v>10.61</v>
      </c>
      <c r="C8" s="3">
        <v>10.9</v>
      </c>
      <c r="D8" s="1">
        <f>Tabelle14[[#This Row],[x]]-0</f>
        <v>10.61</v>
      </c>
      <c r="E8" s="1">
        <f>Tabelle14[[#This Row],[y]]+0</f>
        <v>10.9</v>
      </c>
      <c r="F8" s="2">
        <f>Tabelle14[[#This Row],[x2]]*$B$1</f>
        <v>350.13</v>
      </c>
      <c r="G8" s="2">
        <f>Tabelle14[[#This Row],[y2]]*$B$1</f>
        <v>359.7</v>
      </c>
      <c r="H8" t="str" cm="1">
        <f t="array" ref="H8">toJson(Tabelle14[[#This Row],[Punkte]],Tabelle14[[#This Row],[x skaliert]],Tabelle14[[#This Row],[y skaliert]])</f>
        <v>{ "id" :"D" ,"x":350.13,"y":359.7, "idloc":"e" },</v>
      </c>
    </row>
    <row r="9" spans="1:8" x14ac:dyDescent="0.25">
      <c r="A9" t="s">
        <v>7</v>
      </c>
      <c r="B9" s="3">
        <v>10.61</v>
      </c>
      <c r="C9" s="3">
        <v>11</v>
      </c>
      <c r="D9" s="1">
        <f>Tabelle14[[#This Row],[x]]-0</f>
        <v>10.61</v>
      </c>
      <c r="E9" s="1">
        <f>Tabelle14[[#This Row],[y]]+0</f>
        <v>11</v>
      </c>
      <c r="F9" s="2">
        <f>Tabelle14[[#This Row],[x2]]*$B$1</f>
        <v>350.13</v>
      </c>
      <c r="G9" s="2">
        <f>Tabelle14[[#This Row],[y2]]*$B$1</f>
        <v>363</v>
      </c>
      <c r="H9" t="str" cm="1">
        <f t="array" ref="H9">toJson(Tabelle14[[#This Row],[Punkte]],Tabelle14[[#This Row],[x skaliert]],Tabelle14[[#This Row],[y skaliert]])</f>
        <v>{ "id" :"D0" ,"x":350.13,"y":363,"base":true, "optic":"FG" , "idloc":"e" },</v>
      </c>
    </row>
    <row r="10" spans="1:8" x14ac:dyDescent="0.25">
      <c r="B10" s="1"/>
      <c r="C10" s="1"/>
      <c r="D10" s="1">
        <f>Tabelle14[[#This Row],[x]]-0</f>
        <v>0</v>
      </c>
      <c r="E10" s="1">
        <f>Tabelle14[[#This Row],[y]]+0</f>
        <v>0</v>
      </c>
      <c r="F10" s="1">
        <f>Tabelle14[[#This Row],[x2]]*$B$1</f>
        <v>0</v>
      </c>
      <c r="G10" s="1">
        <f>Tabelle14[[#This Row],[y2]]*$B$1</f>
        <v>0</v>
      </c>
      <c r="H10" t="str" cm="1">
        <f t="array" ref="H10">toJson(Tabelle14[[#This Row],[Punkte]],Tabelle14[[#This Row],[x skaliert]],Tabelle14[[#This Row],[y skaliert]])</f>
        <v>{ "id" :"" ,"x":0,"y":0, "idloc":"e" },</v>
      </c>
    </row>
    <row r="11" spans="1:8" x14ac:dyDescent="0.25">
      <c r="B11" s="1"/>
      <c r="C11" s="1"/>
      <c r="D11" s="1">
        <f>Tabelle14[[#This Row],[x]]-0</f>
        <v>0</v>
      </c>
      <c r="E11" s="1">
        <f>Tabelle14[[#This Row],[y]]+0</f>
        <v>0</v>
      </c>
      <c r="F11" s="1">
        <f>Tabelle14[[#This Row],[x2]]*$B$1</f>
        <v>0</v>
      </c>
      <c r="G11" s="1">
        <f>Tabelle14[[#This Row],[y2]]*$B$1</f>
        <v>0</v>
      </c>
      <c r="H11" t="str" cm="1">
        <f t="array" ref="H11">toJson(Tabelle14[[#This Row],[Punkte]],Tabelle14[[#This Row],[x skaliert]],Tabelle14[[#This Row],[y skaliert]])</f>
        <v>{ "id" :"" ,"x":0,"y":0, "idloc":"e" },</v>
      </c>
    </row>
    <row r="12" spans="1:8" x14ac:dyDescent="0.25">
      <c r="B12" s="1"/>
      <c r="C12" s="1"/>
      <c r="D12" s="1">
        <f>Tabelle14[[#This Row],[x]]-0</f>
        <v>0</v>
      </c>
      <c r="E12" s="1">
        <f>Tabelle14[[#This Row],[y]]+0</f>
        <v>0</v>
      </c>
      <c r="F12" s="1">
        <f>Tabelle14[[#This Row],[x2]]*$B$1</f>
        <v>0</v>
      </c>
      <c r="G12" s="1">
        <f>Tabelle14[[#This Row],[y2]]*$B$1</f>
        <v>0</v>
      </c>
      <c r="H12" t="str" cm="1">
        <f t="array" ref="H12">toJson(Tabelle14[[#This Row],[Punkte]],Tabelle14[[#This Row],[x skaliert]],Tabelle14[[#This Row],[y skaliert]])</f>
        <v>{ "id" :"" ,"x":0,"y":0, "idloc":"e" },</v>
      </c>
    </row>
    <row r="13" spans="1:8" x14ac:dyDescent="0.25">
      <c r="B13" s="1"/>
      <c r="C13" s="1"/>
      <c r="D13" s="1">
        <f>Tabelle14[[#This Row],[x]]-0</f>
        <v>0</v>
      </c>
      <c r="E13" s="1">
        <f>Tabelle14[[#This Row],[y]]+0</f>
        <v>0</v>
      </c>
      <c r="F13" s="1">
        <f>Tabelle14[[#This Row],[x2]]*$B$1</f>
        <v>0</v>
      </c>
      <c r="G13" s="1">
        <f>Tabelle14[[#This Row],[y2]]*$B$1</f>
        <v>0</v>
      </c>
      <c r="H13" t="str" cm="1">
        <f t="array" ref="H13">toJson(Tabelle14[[#This Row],[Punkte]],Tabelle14[[#This Row],[x skaliert]],Tabelle14[[#This Row],[y skaliert]])</f>
        <v>{ "id" :"" ,"x":0,"y":0, "idloc":"e" },</v>
      </c>
    </row>
    <row r="14" spans="1:8" x14ac:dyDescent="0.25">
      <c r="B14" s="1"/>
      <c r="C14" s="1"/>
      <c r="D14" s="1">
        <f>Tabelle14[[#This Row],[x]]-0</f>
        <v>0</v>
      </c>
      <c r="E14" s="1">
        <f>Tabelle14[[#This Row],[y]]+0</f>
        <v>0</v>
      </c>
      <c r="F14" s="1">
        <f>Tabelle14[[#This Row],[x2]]*$B$1</f>
        <v>0</v>
      </c>
      <c r="G14" s="1">
        <f>Tabelle14[[#This Row],[y2]]*$B$1</f>
        <v>0</v>
      </c>
      <c r="H14" t="str" cm="1">
        <f t="array" ref="H14">toJson(Tabelle14[[#This Row],[Punkte]],Tabelle14[[#This Row],[x skaliert]],Tabelle14[[#This Row],[y skaliert]])</f>
        <v>{ "id" :"" ,"x":0,"y":0, "idloc":"e" },</v>
      </c>
    </row>
    <row r="15" spans="1:8" x14ac:dyDescent="0.25">
      <c r="B15" s="1"/>
      <c r="C15" s="1"/>
      <c r="D15" s="1">
        <f>Tabelle14[[#This Row],[x]]-0</f>
        <v>0</v>
      </c>
      <c r="E15" s="1">
        <f>Tabelle14[[#This Row],[y]]+0</f>
        <v>0</v>
      </c>
      <c r="F15" s="1">
        <f>Tabelle14[[#This Row],[x2]]*$B$1</f>
        <v>0</v>
      </c>
      <c r="G15" s="1">
        <f>Tabelle14[[#This Row],[y2]]*$B$1</f>
        <v>0</v>
      </c>
      <c r="H15" t="str" cm="1">
        <f t="array" ref="H15">toJson(Tabelle14[[#This Row],[Punkte]],Tabelle14[[#This Row],[x skaliert]],Tabelle14[[#This Row],[y skaliert]])</f>
        <v>{ "id" :"" ,"x":0,"y":0, "idloc":"e" },</v>
      </c>
    </row>
    <row r="16" spans="1:8" x14ac:dyDescent="0.25">
      <c r="B16" s="1"/>
      <c r="C16" s="1"/>
      <c r="D16" s="1">
        <f>Tabelle14[[#This Row],[x]]-0</f>
        <v>0</v>
      </c>
      <c r="E16" s="1">
        <f>Tabelle14[[#This Row],[y]]+0</f>
        <v>0</v>
      </c>
      <c r="F16" s="1">
        <f>Tabelle14[[#This Row],[x2]]*$B$1</f>
        <v>0</v>
      </c>
      <c r="G16" s="1">
        <f>Tabelle14[[#This Row],[y2]]*$B$1</f>
        <v>0</v>
      </c>
      <c r="H16" t="str" cm="1">
        <f t="array" ref="H16">toJson(Tabelle14[[#This Row],[Punkte]],Tabelle14[[#This Row],[x skaliert]],Tabelle14[[#This Row],[y skaliert]])</f>
        <v>{ "id" :"" ,"x":0,"y":0, "idloc":"e" },</v>
      </c>
    </row>
    <row r="17" spans="2:8" x14ac:dyDescent="0.25">
      <c r="B17" s="1"/>
      <c r="C17" s="1"/>
      <c r="D17" s="1">
        <f>Tabelle14[[#This Row],[x]]-0</f>
        <v>0</v>
      </c>
      <c r="E17" s="1">
        <f>Tabelle14[[#This Row],[y]]+0</f>
        <v>0</v>
      </c>
      <c r="F17" s="1">
        <f>Tabelle14[[#This Row],[x2]]*$B$1</f>
        <v>0</v>
      </c>
      <c r="G17" s="1">
        <f>Tabelle14[[#This Row],[y2]]*$B$1</f>
        <v>0</v>
      </c>
      <c r="H17" t="str" cm="1">
        <f t="array" ref="H17">toJson(Tabelle14[[#This Row],[Punkte]],Tabelle14[[#This Row],[x skaliert]],Tabelle14[[#This Row],[y skaliert]])</f>
        <v>{ "id" :"" ,"x":0,"y":0, "idloc":"e" },</v>
      </c>
    </row>
    <row r="18" spans="2:8" x14ac:dyDescent="0.25">
      <c r="D18" s="1">
        <f>Tabelle14[[#This Row],[x]]-0</f>
        <v>0</v>
      </c>
      <c r="E18" s="1">
        <f>Tabelle14[[#This Row],[y]]+0</f>
        <v>0</v>
      </c>
      <c r="F18" s="1">
        <f>Tabelle14[[#This Row],[x2]]*$B$1</f>
        <v>0</v>
      </c>
      <c r="G18" s="1">
        <f>Tabelle14[[#This Row],[y2]]*$B$1</f>
        <v>0</v>
      </c>
      <c r="H18" t="str" cm="1">
        <f t="array" ref="H18">toJson(Tabelle14[[#This Row],[Punkte]],Tabelle14[[#This Row],[x skaliert]],Tabelle14[[#This Row],[y skaliert]])</f>
        <v>{ "id" :"" ,"x":0,"y":0, "idloc":"e" },</v>
      </c>
    </row>
    <row r="19" spans="2:8" x14ac:dyDescent="0.25">
      <c r="D19" s="1">
        <f>Tabelle14[[#This Row],[x]]-0</f>
        <v>0</v>
      </c>
      <c r="E19" s="1">
        <f>Tabelle14[[#This Row],[y]]+0</f>
        <v>0</v>
      </c>
      <c r="F19" s="1">
        <f>Tabelle14[[#This Row],[x2]]*$B$1</f>
        <v>0</v>
      </c>
      <c r="G19" s="1">
        <f>Tabelle14[[#This Row],[y2]]*$B$1</f>
        <v>0</v>
      </c>
      <c r="H19" t="str" cm="1">
        <f t="array" ref="H19">toJson(Tabelle14[[#This Row],[Punkte]],Tabelle14[[#This Row],[x skaliert]],Tabelle14[[#This Row],[y skaliert]])</f>
        <v>{ "id" :"" ,"x":0,"y":0, "idloc":"e" },</v>
      </c>
    </row>
    <row r="20" spans="2:8" x14ac:dyDescent="0.25">
      <c r="D20" s="1">
        <f>Tabelle14[[#This Row],[x]]-0</f>
        <v>0</v>
      </c>
      <c r="E20" s="1">
        <f>Tabelle14[[#This Row],[y]]+0</f>
        <v>0</v>
      </c>
      <c r="F20" s="1">
        <f>Tabelle14[[#This Row],[x2]]*$B$1</f>
        <v>0</v>
      </c>
      <c r="G20" s="1">
        <f>Tabelle14[[#This Row],[y2]]*$B$1</f>
        <v>0</v>
      </c>
      <c r="H20" t="str" cm="1">
        <f t="array" ref="H20">toJson(Tabelle14[[#This Row],[Punkte]],Tabelle14[[#This Row],[x skaliert]],Tabelle14[[#This Row],[y skaliert]])</f>
        <v>{ "id" :"" ,"x":0,"y":0, "idloc":"e" },</v>
      </c>
    </row>
    <row r="21" spans="2:8" x14ac:dyDescent="0.25">
      <c r="D21" s="1">
        <f>Tabelle14[[#This Row],[x]]-0</f>
        <v>0</v>
      </c>
      <c r="E21" s="1">
        <f>Tabelle14[[#This Row],[y]]+0</f>
        <v>0</v>
      </c>
      <c r="F21" s="1">
        <f>Tabelle14[[#This Row],[x2]]*$B$1</f>
        <v>0</v>
      </c>
      <c r="G21" s="1">
        <f>Tabelle14[[#This Row],[y2]]*$B$1</f>
        <v>0</v>
      </c>
      <c r="H21" t="str" cm="1">
        <f t="array" ref="H21">toJson(Tabelle14[[#This Row],[Punkte]],Tabelle14[[#This Row],[x skaliert]],Tabelle14[[#This Row],[y skaliert]])</f>
        <v>{ "id" :"" ,"x":0,"y":0, "idloc":"e" },</v>
      </c>
    </row>
    <row r="22" spans="2:8" x14ac:dyDescent="0.25">
      <c r="D22" s="1">
        <f>Tabelle14[[#This Row],[x]]-0</f>
        <v>0</v>
      </c>
      <c r="E22" s="1">
        <f>Tabelle14[[#This Row],[y]]+0</f>
        <v>0</v>
      </c>
      <c r="F22" s="1">
        <f>Tabelle14[[#This Row],[x2]]*$B$1</f>
        <v>0</v>
      </c>
      <c r="G22" s="1">
        <f>Tabelle14[[#This Row],[y2]]*$B$1</f>
        <v>0</v>
      </c>
      <c r="H22" t="str" cm="1">
        <f t="array" ref="H22">toJson(Tabelle14[[#This Row],[Punkte]],Tabelle14[[#This Row],[x skaliert]],Tabelle14[[#This Row],[y skaliert]])</f>
        <v>{ "id" :"" ,"x":0,"y":0, "idloc":"e" },</v>
      </c>
    </row>
    <row r="23" spans="2:8" x14ac:dyDescent="0.25">
      <c r="D23" s="1">
        <f>Tabelle14[[#This Row],[x]]-0</f>
        <v>0</v>
      </c>
      <c r="E23" s="1">
        <f>Tabelle14[[#This Row],[y]]+0</f>
        <v>0</v>
      </c>
      <c r="F23" s="1">
        <f>Tabelle14[[#This Row],[x2]]*$B$1</f>
        <v>0</v>
      </c>
      <c r="G23" s="1">
        <f>Tabelle14[[#This Row],[y2]]*$B$1</f>
        <v>0</v>
      </c>
      <c r="H23" t="str" cm="1">
        <f t="array" ref="H23">toJson(Tabelle14[[#This Row],[Punkte]],Tabelle14[[#This Row],[x skaliert]],Tabelle14[[#This Row],[y skaliert]])</f>
        <v>{ "id" :"" ,"x":0,"y":0, "idloc":"e" },</v>
      </c>
    </row>
    <row r="24" spans="2:8" x14ac:dyDescent="0.25">
      <c r="D24" s="1">
        <f>Tabelle14[[#This Row],[x]]-0</f>
        <v>0</v>
      </c>
      <c r="E24" s="1">
        <f>Tabelle14[[#This Row],[y]]+0</f>
        <v>0</v>
      </c>
      <c r="F24" s="1">
        <f>Tabelle14[[#This Row],[x2]]*$B$1</f>
        <v>0</v>
      </c>
      <c r="G24" s="1">
        <f>Tabelle14[[#This Row],[y2]]*$B$1</f>
        <v>0</v>
      </c>
      <c r="H24" t="str" cm="1">
        <f t="array" ref="H24">toJson(Tabelle14[[#This Row],[Punkte]],Tabelle14[[#This Row],[x skaliert]],Tabelle14[[#This Row],[y skaliert]])</f>
        <v>{ "id" :"" ,"x":0,"y":0, "idloc":"e" },</v>
      </c>
    </row>
    <row r="25" spans="2:8" x14ac:dyDescent="0.25">
      <c r="D25" s="1">
        <f>Tabelle14[[#This Row],[x]]-0</f>
        <v>0</v>
      </c>
      <c r="E25" s="1">
        <f>Tabelle14[[#This Row],[y]]+0</f>
        <v>0</v>
      </c>
      <c r="F25" s="1">
        <f>Tabelle14[[#This Row],[x2]]*$B$1</f>
        <v>0</v>
      </c>
      <c r="G25" s="1">
        <f>Tabelle14[[#This Row],[y2]]*$B$1</f>
        <v>0</v>
      </c>
      <c r="H25" t="str" cm="1">
        <f t="array" ref="H25">toJson(Tabelle14[[#This Row],[Punkte]],Tabelle14[[#This Row],[x skaliert]],Tabelle14[[#This Row],[y skaliert]])</f>
        <v>{ "id" :"" ,"x":0,"y":0, "idloc":"e" },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9310-1921-4FB1-A72A-95A2A5FB49A1}">
  <sheetPr codeName="Tabelle4"/>
  <dimension ref="A1:I26"/>
  <sheetViews>
    <sheetView workbookViewId="0">
      <selection activeCell="D12" sqref="D12"/>
    </sheetView>
  </sheetViews>
  <sheetFormatPr baseColWidth="10" defaultColWidth="9.140625" defaultRowHeight="15" x14ac:dyDescent="0.25"/>
  <cols>
    <col min="1" max="1" width="11.7109375" customWidth="1"/>
    <col min="2" max="2" width="11.85546875" customWidth="1"/>
    <col min="3" max="4" width="13" customWidth="1"/>
    <col min="7" max="7" width="11.85546875" customWidth="1"/>
    <col min="8" max="8" width="12" customWidth="1"/>
    <col min="9" max="9" width="62" customWidth="1"/>
  </cols>
  <sheetData>
    <row r="1" spans="1:9" x14ac:dyDescent="0.25">
      <c r="A1" t="s">
        <v>11</v>
      </c>
      <c r="B1" s="1">
        <v>2</v>
      </c>
    </row>
    <row r="2" spans="1:9" x14ac:dyDescent="0.25">
      <c r="A2" t="s">
        <v>0</v>
      </c>
      <c r="B2" t="s">
        <v>1</v>
      </c>
      <c r="C2" t="s">
        <v>2</v>
      </c>
      <c r="D2" t="s">
        <v>17</v>
      </c>
      <c r="E2" t="s">
        <v>14</v>
      </c>
      <c r="F2" t="s">
        <v>15</v>
      </c>
      <c r="G2" t="s">
        <v>12</v>
      </c>
      <c r="H2" t="s">
        <v>13</v>
      </c>
      <c r="I2" t="s">
        <v>9</v>
      </c>
    </row>
    <row r="3" spans="1:9" x14ac:dyDescent="0.25">
      <c r="A3" t="s">
        <v>3</v>
      </c>
      <c r="B3" s="3">
        <v>195.02030999999999</v>
      </c>
      <c r="C3" s="3">
        <v>157.03032999999999</v>
      </c>
      <c r="D3" s="3"/>
      <c r="E3" s="1">
        <f>Tabelle142[[#This Row],[x]]-0</f>
        <v>195.02030999999999</v>
      </c>
      <c r="F3" s="1">
        <f>Tabelle142[[#This Row],[y]]+0</f>
        <v>157.03032999999999</v>
      </c>
      <c r="G3" s="2">
        <f>Tabelle142[[#This Row],[x2]]*$B$1</f>
        <v>390.04061999999999</v>
      </c>
      <c r="H3" s="2">
        <f>Tabelle142[[#This Row],[y2]]*$B$1</f>
        <v>314.06065999999998</v>
      </c>
      <c r="I3" t="str" cm="1">
        <f t="array" ref="I3">toJson(Tabelle142[[#This Row],[Punkte]],Tabelle142[[#This Row],[x skaliert]],Tabelle142[[#This Row],[y skaliert]],Tabelle142[[#This Row],[Hide?]])</f>
        <v>{ "id" :"A0" ,"x":390.04062,"y":314.06066,"base":true, "optic":"FG" , "idloc":"e" },</v>
      </c>
    </row>
    <row r="4" spans="1:9" x14ac:dyDescent="0.25">
      <c r="A4" t="s">
        <v>10</v>
      </c>
      <c r="B4" s="3">
        <v>237.26134999999999</v>
      </c>
      <c r="C4" s="3">
        <v>217.4016</v>
      </c>
      <c r="D4" s="3"/>
      <c r="E4" s="1">
        <f>Tabelle142[[#This Row],[x]]-0</f>
        <v>237.26134999999999</v>
      </c>
      <c r="F4" s="1">
        <f>Tabelle142[[#This Row],[y]]+0</f>
        <v>217.4016</v>
      </c>
      <c r="G4" s="2">
        <f>Tabelle142[[#This Row],[x2]]*$B$1</f>
        <v>474.52269999999999</v>
      </c>
      <c r="H4" s="2">
        <f>Tabelle142[[#This Row],[y2]]*$B$1</f>
        <v>434.8032</v>
      </c>
      <c r="I4" t="str" cm="1">
        <f t="array" ref="I4">toJson(Tabelle142[[#This Row],[Punkte]],Tabelle142[[#This Row],[x skaliert]],Tabelle142[[#This Row],[y skaliert]],Tabelle142[[#This Row],[Hide?]])</f>
        <v>{ "id" :"A" ,"x":474.5227,"y":434.8032, "idloc":"e" },</v>
      </c>
    </row>
    <row r="5" spans="1:9" x14ac:dyDescent="0.25">
      <c r="A5" t="s">
        <v>4</v>
      </c>
      <c r="B5" s="3">
        <v>72.091139999999996</v>
      </c>
      <c r="C5" s="3">
        <v>411.00662999999997</v>
      </c>
      <c r="D5" s="3" t="s">
        <v>1</v>
      </c>
      <c r="E5" s="1">
        <f>Tabelle142[[#This Row],[x]]-0</f>
        <v>72.091139999999996</v>
      </c>
      <c r="F5" s="1">
        <f>Tabelle142[[#This Row],[y]]+0</f>
        <v>411.00662999999997</v>
      </c>
      <c r="G5" s="2">
        <f>Tabelle142[[#This Row],[x2]]*$B$1</f>
        <v>144.18227999999999</v>
      </c>
      <c r="H5" s="2">
        <f>Tabelle142[[#This Row],[y2]]*$B$1</f>
        <v>822.01325999999995</v>
      </c>
      <c r="I5" s="4" t="str" cm="1">
        <f t="array" ref="I5">toJson(Tabelle142[[#This Row],[Punkte]],Tabelle142[[#This Row],[x skaliert]],Tabelle142[[#This Row],[y skaliert]],Tabelle142[[#This Row],[Hide?]])</f>
        <v>{ "id" :"B0" ,"x":144.18228,"y":822.01326,"base":true, "optic":"FG" , "hid":"true" , "idloc":"e" },</v>
      </c>
    </row>
    <row r="6" spans="1:9" x14ac:dyDescent="0.25">
      <c r="A6" t="s">
        <v>8</v>
      </c>
      <c r="B6" s="3">
        <v>100</v>
      </c>
      <c r="C6" s="3">
        <v>350</v>
      </c>
      <c r="D6" s="3"/>
      <c r="E6" s="1">
        <f>Tabelle142[[#This Row],[x]]-0</f>
        <v>100</v>
      </c>
      <c r="F6" s="1">
        <f>Tabelle142[[#This Row],[y]]+0</f>
        <v>350</v>
      </c>
      <c r="G6" s="2">
        <f>Tabelle142[[#This Row],[x2]]*$B$1</f>
        <v>200</v>
      </c>
      <c r="H6" s="2">
        <f>Tabelle142[[#This Row],[y2]]*$B$1</f>
        <v>700</v>
      </c>
      <c r="I6" t="str" cm="1">
        <f t="array" ref="I6">toJson(Tabelle142[[#This Row],[Punkte]],Tabelle142[[#This Row],[x skaliert]],Tabelle142[[#This Row],[y skaliert]],Tabelle142[[#This Row],[Hide?]])</f>
        <v>{ "id" :"B" ,"x":200,"y":700, "idloc":"e" },</v>
      </c>
    </row>
    <row r="7" spans="1:9" hidden="1" x14ac:dyDescent="0.25">
      <c r="A7" t="s">
        <v>16</v>
      </c>
      <c r="B7" s="3">
        <v>155.59020000000001</v>
      </c>
      <c r="C7" s="3">
        <v>234.73084</v>
      </c>
      <c r="D7" s="3" t="s">
        <v>1</v>
      </c>
      <c r="E7" s="1">
        <f>Tabelle142[[#This Row],[x]]-0</f>
        <v>155.59020000000001</v>
      </c>
      <c r="F7" s="1">
        <f>Tabelle142[[#This Row],[y]]+0</f>
        <v>234.73084</v>
      </c>
      <c r="G7" s="2">
        <f>Tabelle142[[#This Row],[x2]]*$B$1</f>
        <v>311.18040000000002</v>
      </c>
      <c r="H7" s="2">
        <f>Tabelle142[[#This Row],[y2]]*$B$1</f>
        <v>469.46168</v>
      </c>
      <c r="I7" s="4" t="str" cm="1">
        <f t="array" ref="I7">toJson(Tabelle142[[#This Row],[Punkte]],Tabelle142[[#This Row],[x skaliert]],Tabelle142[[#This Row],[y skaliert]],Tabelle142[[#This Row],[Hide?]])</f>
        <v>{ "id" :"B02" ,"x":311.1804,"y":469.46168,"base":true, "optic":"FG" , "hid":"true" , "idloc":"e" },</v>
      </c>
    </row>
    <row r="8" spans="1:9" x14ac:dyDescent="0.25">
      <c r="A8" t="s">
        <v>5</v>
      </c>
      <c r="B8" s="3">
        <v>197.9863</v>
      </c>
      <c r="C8" s="3">
        <v>290.64371</v>
      </c>
      <c r="D8" s="3"/>
      <c r="E8" s="1">
        <f>Tabelle142[[#This Row],[x]]-0</f>
        <v>197.9863</v>
      </c>
      <c r="F8" s="1">
        <f>Tabelle142[[#This Row],[y]]+0</f>
        <v>290.64371</v>
      </c>
      <c r="G8" s="2">
        <f>Tabelle142[[#This Row],[x2]]*$B$1</f>
        <v>395.9726</v>
      </c>
      <c r="H8" s="2">
        <f>Tabelle142[[#This Row],[y2]]*$B$1</f>
        <v>581.28742</v>
      </c>
      <c r="I8" t="str" cm="1">
        <f t="array" ref="I8">toJson(Tabelle142[[#This Row],[Punkte]],Tabelle142[[#This Row],[x skaliert]],Tabelle142[[#This Row],[y skaliert]],Tabelle142[[#This Row],[Hide?]])</f>
        <v>{ "id" :"C" ,"x":395.9726,"y":581.28742, "idloc":"e" },</v>
      </c>
    </row>
    <row r="9" spans="1:9" x14ac:dyDescent="0.25">
      <c r="A9" t="s">
        <v>6</v>
      </c>
      <c r="B9" s="3">
        <v>296.70643999999999</v>
      </c>
      <c r="C9" s="3">
        <v>366.00934000000001</v>
      </c>
      <c r="D9" s="3"/>
      <c r="E9" s="1">
        <f>Tabelle142[[#This Row],[x]]-0</f>
        <v>296.70643999999999</v>
      </c>
      <c r="F9" s="1">
        <f>Tabelle142[[#This Row],[y]]+0</f>
        <v>366.00934000000001</v>
      </c>
      <c r="G9" s="2">
        <f>Tabelle142[[#This Row],[x2]]*$B$1</f>
        <v>593.41287999999997</v>
      </c>
      <c r="H9" s="2">
        <f>Tabelle142[[#This Row],[y2]]*$B$1</f>
        <v>732.01868000000002</v>
      </c>
      <c r="I9" t="str" cm="1">
        <f t="array" ref="I9">toJson(Tabelle142[[#This Row],[Punkte]],Tabelle142[[#This Row],[x skaliert]],Tabelle142[[#This Row],[y skaliert]],Tabelle142[[#This Row],[Hide?]])</f>
        <v>{ "id" :"D" ,"x":593.41288,"y":732.01868, "idloc":"e" },</v>
      </c>
    </row>
    <row r="10" spans="1:9" x14ac:dyDescent="0.25">
      <c r="A10" t="s">
        <v>7</v>
      </c>
      <c r="B10" s="3">
        <v>318.52933000000002</v>
      </c>
      <c r="C10" s="3">
        <v>412.74619000000001</v>
      </c>
      <c r="D10" s="3" t="s">
        <v>1</v>
      </c>
      <c r="E10" s="1">
        <f>Tabelle142[[#This Row],[x]]-0</f>
        <v>318.52933000000002</v>
      </c>
      <c r="F10" s="1">
        <f>Tabelle142[[#This Row],[y]]+0</f>
        <v>412.74619000000001</v>
      </c>
      <c r="G10" s="2">
        <f>Tabelle142[[#This Row],[x2]]*$B$1</f>
        <v>637.05866000000003</v>
      </c>
      <c r="H10" s="2">
        <f>Tabelle142[[#This Row],[y2]]*$B$1</f>
        <v>825.49238000000003</v>
      </c>
      <c r="I10" t="str" cm="1">
        <f t="array" ref="I10">toJson(Tabelle142[[#This Row],[Punkte]],Tabelle142[[#This Row],[x skaliert]],Tabelle142[[#This Row],[y skaliert]],Tabelle142[[#This Row],[Hide?]])</f>
        <v>{ "id" :"D0" ,"x":637.05866,"y":825.49238,"base":true, "optic":"FG" , "hid":"true" , "idloc":"e" },</v>
      </c>
    </row>
    <row r="11" spans="1:9" x14ac:dyDescent="0.25">
      <c r="B11" s="1"/>
      <c r="C11" s="1"/>
      <c r="D11" s="1"/>
      <c r="E11" s="1">
        <f>Tabelle142[[#This Row],[x]]-0</f>
        <v>0</v>
      </c>
      <c r="F11" s="1">
        <f>Tabelle142[[#This Row],[y]]+0</f>
        <v>0</v>
      </c>
      <c r="G11" s="1">
        <f>Tabelle142[[#This Row],[x2]]*$B$1</f>
        <v>0</v>
      </c>
      <c r="H11" s="1">
        <f>Tabelle142[[#This Row],[y2]]*$B$1</f>
        <v>0</v>
      </c>
      <c r="I11" t="str" cm="1">
        <f t="array" ref="I11">toJson(Tabelle142[[#This Row],[Punkte]],Tabelle142[[#This Row],[x skaliert]],Tabelle142[[#This Row],[y skaliert]],Tabelle142[[#This Row],[Hide?]])</f>
        <v>{ "id" :"" ,"x":0,"y":0, "idloc":"e" },</v>
      </c>
    </row>
    <row r="12" spans="1:9" x14ac:dyDescent="0.25">
      <c r="B12" s="1"/>
      <c r="C12" s="1"/>
      <c r="D12" s="1"/>
      <c r="E12" s="1">
        <f>Tabelle142[[#This Row],[x]]-0</f>
        <v>0</v>
      </c>
      <c r="F12" s="1">
        <f>Tabelle142[[#This Row],[y]]+0</f>
        <v>0</v>
      </c>
      <c r="G12" s="1">
        <f>Tabelle142[[#This Row],[x2]]*$B$1</f>
        <v>0</v>
      </c>
      <c r="H12" s="1">
        <f>Tabelle142[[#This Row],[y2]]*$B$1</f>
        <v>0</v>
      </c>
      <c r="I12" t="str" cm="1">
        <f t="array" ref="I12">toJson(Tabelle142[[#This Row],[Punkte]],Tabelle142[[#This Row],[x skaliert]],Tabelle142[[#This Row],[y skaliert]],Tabelle142[[#This Row],[Hide?]])</f>
        <v>{ "id" :"" ,"x":0,"y":0, "idloc":"e" },</v>
      </c>
    </row>
    <row r="13" spans="1:9" x14ac:dyDescent="0.25">
      <c r="B13" s="1"/>
      <c r="C13" s="1"/>
      <c r="D13" s="1"/>
      <c r="E13" s="1">
        <f>Tabelle142[[#This Row],[x]]-0</f>
        <v>0</v>
      </c>
      <c r="F13" s="1">
        <f>Tabelle142[[#This Row],[y]]+0</f>
        <v>0</v>
      </c>
      <c r="G13" s="1">
        <f>Tabelle142[[#This Row],[x2]]*$B$1</f>
        <v>0</v>
      </c>
      <c r="H13" s="1">
        <f>Tabelle142[[#This Row],[y2]]*$B$1</f>
        <v>0</v>
      </c>
      <c r="I13" t="str" cm="1">
        <f t="array" ref="I13">toJson(Tabelle142[[#This Row],[Punkte]],Tabelle142[[#This Row],[x skaliert]],Tabelle142[[#This Row],[y skaliert]],Tabelle142[[#This Row],[Hide?]])</f>
        <v>{ "id" :"" ,"x":0,"y":0, "idloc":"e" },</v>
      </c>
    </row>
    <row r="14" spans="1:9" x14ac:dyDescent="0.25">
      <c r="B14" s="1"/>
      <c r="C14" s="1"/>
      <c r="D14" s="1"/>
      <c r="E14" s="1">
        <f>Tabelle142[[#This Row],[x]]-0</f>
        <v>0</v>
      </c>
      <c r="F14" s="1">
        <f>Tabelle142[[#This Row],[y]]+0</f>
        <v>0</v>
      </c>
      <c r="G14" s="1">
        <f>Tabelle142[[#This Row],[x2]]*$B$1</f>
        <v>0</v>
      </c>
      <c r="H14" s="1">
        <f>Tabelle142[[#This Row],[y2]]*$B$1</f>
        <v>0</v>
      </c>
      <c r="I14" t="str" cm="1">
        <f t="array" ref="I14">toJson(Tabelle142[[#This Row],[Punkte]],Tabelle142[[#This Row],[x skaliert]],Tabelle142[[#This Row],[y skaliert]],Tabelle142[[#This Row],[Hide?]])</f>
        <v>{ "id" :"" ,"x":0,"y":0, "idloc":"e" },</v>
      </c>
    </row>
    <row r="15" spans="1:9" x14ac:dyDescent="0.25">
      <c r="B15" s="1"/>
      <c r="C15" s="1"/>
      <c r="D15" s="1"/>
      <c r="E15" s="1">
        <f>Tabelle142[[#This Row],[x]]-0</f>
        <v>0</v>
      </c>
      <c r="F15" s="1">
        <f>Tabelle142[[#This Row],[y]]+0</f>
        <v>0</v>
      </c>
      <c r="G15" s="1">
        <f>Tabelle142[[#This Row],[x2]]*$B$1</f>
        <v>0</v>
      </c>
      <c r="H15" s="1">
        <f>Tabelle142[[#This Row],[y2]]*$B$1</f>
        <v>0</v>
      </c>
      <c r="I15" t="str" cm="1">
        <f t="array" ref="I15">toJson(Tabelle142[[#This Row],[Punkte]],Tabelle142[[#This Row],[x skaliert]],Tabelle142[[#This Row],[y skaliert]],Tabelle142[[#This Row],[Hide?]])</f>
        <v>{ "id" :"" ,"x":0,"y":0, "idloc":"e" },</v>
      </c>
    </row>
    <row r="16" spans="1:9" x14ac:dyDescent="0.25">
      <c r="B16" s="1"/>
      <c r="C16" s="1"/>
      <c r="D16" s="1"/>
      <c r="E16" s="1">
        <f>Tabelle142[[#This Row],[x]]-0</f>
        <v>0</v>
      </c>
      <c r="F16" s="1">
        <f>Tabelle142[[#This Row],[y]]+0</f>
        <v>0</v>
      </c>
      <c r="G16" s="1">
        <f>Tabelle142[[#This Row],[x2]]*$B$1</f>
        <v>0</v>
      </c>
      <c r="H16" s="1">
        <f>Tabelle142[[#This Row],[y2]]*$B$1</f>
        <v>0</v>
      </c>
      <c r="I16" t="str" cm="1">
        <f t="array" ref="I16">toJson(Tabelle142[[#This Row],[Punkte]],Tabelle142[[#This Row],[x skaliert]],Tabelle142[[#This Row],[y skaliert]],Tabelle142[[#This Row],[Hide?]])</f>
        <v>{ "id" :"" ,"x":0,"y":0, "idloc":"e" },</v>
      </c>
    </row>
    <row r="17" spans="2:9" x14ac:dyDescent="0.25">
      <c r="B17" s="1"/>
      <c r="C17" s="1"/>
      <c r="D17" s="1"/>
      <c r="E17" s="1">
        <f>Tabelle142[[#This Row],[x]]-0</f>
        <v>0</v>
      </c>
      <c r="F17" s="1">
        <f>Tabelle142[[#This Row],[y]]+0</f>
        <v>0</v>
      </c>
      <c r="G17" s="1">
        <f>Tabelle142[[#This Row],[x2]]*$B$1</f>
        <v>0</v>
      </c>
      <c r="H17" s="1">
        <f>Tabelle142[[#This Row],[y2]]*$B$1</f>
        <v>0</v>
      </c>
      <c r="I17" t="str" cm="1">
        <f t="array" ref="I17">toJson(Tabelle142[[#This Row],[Punkte]],Tabelle142[[#This Row],[x skaliert]],Tabelle142[[#This Row],[y skaliert]],Tabelle142[[#This Row],[Hide?]])</f>
        <v>{ "id" :"" ,"x":0,"y":0, "idloc":"e" },</v>
      </c>
    </row>
    <row r="18" spans="2:9" x14ac:dyDescent="0.25">
      <c r="B18" s="1"/>
      <c r="C18" s="1"/>
      <c r="D18" s="1"/>
      <c r="E18" s="1">
        <f>Tabelle142[[#This Row],[x]]-0</f>
        <v>0</v>
      </c>
      <c r="F18" s="1">
        <f>Tabelle142[[#This Row],[y]]+0</f>
        <v>0</v>
      </c>
      <c r="G18" s="1">
        <f>Tabelle142[[#This Row],[x2]]*$B$1</f>
        <v>0</v>
      </c>
      <c r="H18" s="1">
        <f>Tabelle142[[#This Row],[y2]]*$B$1</f>
        <v>0</v>
      </c>
      <c r="I18" t="str" cm="1">
        <f t="array" ref="I18">toJson(Tabelle142[[#This Row],[Punkte]],Tabelle142[[#This Row],[x skaliert]],Tabelle142[[#This Row],[y skaliert]],Tabelle142[[#This Row],[Hide?]])</f>
        <v>{ "id" :"" ,"x":0,"y":0, "idloc":"e" },</v>
      </c>
    </row>
    <row r="19" spans="2:9" x14ac:dyDescent="0.25">
      <c r="E19" s="1">
        <f>Tabelle142[[#This Row],[x]]-0</f>
        <v>0</v>
      </c>
      <c r="F19" s="1">
        <f>Tabelle142[[#This Row],[y]]+0</f>
        <v>0</v>
      </c>
      <c r="G19" s="1">
        <f>Tabelle142[[#This Row],[x2]]*$B$1</f>
        <v>0</v>
      </c>
      <c r="H19" s="1">
        <f>Tabelle142[[#This Row],[y2]]*$B$1</f>
        <v>0</v>
      </c>
      <c r="I19" t="str" cm="1">
        <f t="array" ref="I19">toJson(Tabelle142[[#This Row],[Punkte]],Tabelle142[[#This Row],[x skaliert]],Tabelle142[[#This Row],[y skaliert]],Tabelle142[[#This Row],[Hide?]])</f>
        <v>{ "id" :"" ,"x":0,"y":0, "idloc":"e" },</v>
      </c>
    </row>
    <row r="20" spans="2:9" x14ac:dyDescent="0.25">
      <c r="E20" s="1">
        <f>Tabelle142[[#This Row],[x]]-0</f>
        <v>0</v>
      </c>
      <c r="F20" s="1">
        <f>Tabelle142[[#This Row],[y]]+0</f>
        <v>0</v>
      </c>
      <c r="G20" s="1">
        <f>Tabelle142[[#This Row],[x2]]*$B$1</f>
        <v>0</v>
      </c>
      <c r="H20" s="1">
        <f>Tabelle142[[#This Row],[y2]]*$B$1</f>
        <v>0</v>
      </c>
      <c r="I20" t="str" cm="1">
        <f t="array" ref="I20">toJson(Tabelle142[[#This Row],[Punkte]],Tabelle142[[#This Row],[x skaliert]],Tabelle142[[#This Row],[y skaliert]],Tabelle142[[#This Row],[Hide?]])</f>
        <v>{ "id" :"" ,"x":0,"y":0, "idloc":"e" },</v>
      </c>
    </row>
    <row r="21" spans="2:9" x14ac:dyDescent="0.25">
      <c r="E21" s="1">
        <f>Tabelle142[[#This Row],[x]]-0</f>
        <v>0</v>
      </c>
      <c r="F21" s="1">
        <f>Tabelle142[[#This Row],[y]]+0</f>
        <v>0</v>
      </c>
      <c r="G21" s="1">
        <f>Tabelle142[[#This Row],[x2]]*$B$1</f>
        <v>0</v>
      </c>
      <c r="H21" s="1">
        <f>Tabelle142[[#This Row],[y2]]*$B$1</f>
        <v>0</v>
      </c>
      <c r="I21" t="str" cm="1">
        <f t="array" ref="I21">toJson(Tabelle142[[#This Row],[Punkte]],Tabelle142[[#This Row],[x skaliert]],Tabelle142[[#This Row],[y skaliert]],Tabelle142[[#This Row],[Hide?]])</f>
        <v>{ "id" :"" ,"x":0,"y":0, "idloc":"e" },</v>
      </c>
    </row>
    <row r="22" spans="2:9" x14ac:dyDescent="0.25">
      <c r="E22" s="1">
        <f>Tabelle142[[#This Row],[x]]-0</f>
        <v>0</v>
      </c>
      <c r="F22" s="1">
        <f>Tabelle142[[#This Row],[y]]+0</f>
        <v>0</v>
      </c>
      <c r="G22" s="1">
        <f>Tabelle142[[#This Row],[x2]]*$B$1</f>
        <v>0</v>
      </c>
      <c r="H22" s="1">
        <f>Tabelle142[[#This Row],[y2]]*$B$1</f>
        <v>0</v>
      </c>
      <c r="I22" t="str" cm="1">
        <f t="array" ref="I22">toJson(Tabelle142[[#This Row],[Punkte]],Tabelle142[[#This Row],[x skaliert]],Tabelle142[[#This Row],[y skaliert]],Tabelle142[[#This Row],[Hide?]])</f>
        <v>{ "id" :"" ,"x":0,"y":0, "idloc":"e" },</v>
      </c>
    </row>
    <row r="23" spans="2:9" x14ac:dyDescent="0.25">
      <c r="E23" s="1">
        <f>Tabelle142[[#This Row],[x]]-0</f>
        <v>0</v>
      </c>
      <c r="F23" s="1">
        <f>Tabelle142[[#This Row],[y]]+0</f>
        <v>0</v>
      </c>
      <c r="G23" s="1">
        <f>Tabelle142[[#This Row],[x2]]*$B$1</f>
        <v>0</v>
      </c>
      <c r="H23" s="1">
        <f>Tabelle142[[#This Row],[y2]]*$B$1</f>
        <v>0</v>
      </c>
      <c r="I23" t="str" cm="1">
        <f t="array" ref="I23">toJson(Tabelle142[[#This Row],[Punkte]],Tabelle142[[#This Row],[x skaliert]],Tabelle142[[#This Row],[y skaliert]],Tabelle142[[#This Row],[Hide?]])</f>
        <v>{ "id" :"" ,"x":0,"y":0, "idloc":"e" },</v>
      </c>
    </row>
    <row r="24" spans="2:9" x14ac:dyDescent="0.25">
      <c r="E24" s="1">
        <f>Tabelle142[[#This Row],[x]]-0</f>
        <v>0</v>
      </c>
      <c r="F24" s="1">
        <f>Tabelle142[[#This Row],[y]]+0</f>
        <v>0</v>
      </c>
      <c r="G24" s="1">
        <f>Tabelle142[[#This Row],[x2]]*$B$1</f>
        <v>0</v>
      </c>
      <c r="H24" s="1">
        <f>Tabelle142[[#This Row],[y2]]*$B$1</f>
        <v>0</v>
      </c>
      <c r="I24" t="str" cm="1">
        <f t="array" ref="I24">toJson(Tabelle142[[#This Row],[Punkte]],Tabelle142[[#This Row],[x skaliert]],Tabelle142[[#This Row],[y skaliert]],Tabelle142[[#This Row],[Hide?]])</f>
        <v>{ "id" :"" ,"x":0,"y":0, "idloc":"e" },</v>
      </c>
    </row>
    <row r="25" spans="2:9" x14ac:dyDescent="0.25">
      <c r="E25" s="1">
        <f>Tabelle142[[#This Row],[x]]-0</f>
        <v>0</v>
      </c>
      <c r="F25" s="1">
        <f>Tabelle142[[#This Row],[y]]+0</f>
        <v>0</v>
      </c>
      <c r="G25" s="1">
        <f>Tabelle142[[#This Row],[x2]]*$B$1</f>
        <v>0</v>
      </c>
      <c r="H25" s="1">
        <f>Tabelle142[[#This Row],[y2]]*$B$1</f>
        <v>0</v>
      </c>
      <c r="I25" t="str" cm="1">
        <f t="array" ref="I25">toJson(Tabelle142[[#This Row],[Punkte]],Tabelle142[[#This Row],[x skaliert]],Tabelle142[[#This Row],[y skaliert]],Tabelle142[[#This Row],[Hide?]])</f>
        <v>{ "id" :"" ,"x":0,"y":0, "idloc":"e" },</v>
      </c>
    </row>
    <row r="26" spans="2:9" x14ac:dyDescent="0.25">
      <c r="E26" s="1">
        <f>Tabelle142[[#This Row],[x]]-0</f>
        <v>0</v>
      </c>
      <c r="F26" s="1">
        <f>Tabelle142[[#This Row],[y]]+0</f>
        <v>0</v>
      </c>
      <c r="G26" s="1">
        <f>Tabelle142[[#This Row],[x2]]*$B$1</f>
        <v>0</v>
      </c>
      <c r="H26" s="1">
        <f>Tabelle142[[#This Row],[y2]]*$B$1</f>
        <v>0</v>
      </c>
      <c r="I26" t="str" cm="1">
        <f t="array" ref="I26">toJson(Tabelle142[[#This Row],[Punkte]],Tabelle142[[#This Row],[x skaliert]],Tabelle142[[#This Row],[y skaliert]],Tabelle142[[#This Row],[Hide?]])</f>
        <v>{ "id" :"" ,"x":0,"y":0, "idloc":"e" },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7850D-E6D3-4CE8-A09B-6D3A9038C4A0}">
  <sheetPr codeName="Tabelle5"/>
  <dimension ref="A1:I26"/>
  <sheetViews>
    <sheetView workbookViewId="0">
      <selection activeCell="I3" sqref="I3:I10"/>
    </sheetView>
  </sheetViews>
  <sheetFormatPr baseColWidth="10" defaultColWidth="9.140625" defaultRowHeight="15" x14ac:dyDescent="0.25"/>
  <cols>
    <col min="1" max="1" width="11.7109375" customWidth="1"/>
    <col min="2" max="2" width="11.85546875" customWidth="1"/>
    <col min="3" max="4" width="13" customWidth="1"/>
    <col min="7" max="7" width="11.85546875" customWidth="1"/>
    <col min="8" max="8" width="12" customWidth="1"/>
    <col min="9" max="9" width="62" customWidth="1"/>
  </cols>
  <sheetData>
    <row r="1" spans="1:9" x14ac:dyDescent="0.25">
      <c r="A1" t="s">
        <v>11</v>
      </c>
      <c r="B1" s="1">
        <v>25</v>
      </c>
    </row>
    <row r="2" spans="1:9" x14ac:dyDescent="0.25">
      <c r="A2" t="s">
        <v>0</v>
      </c>
      <c r="B2" t="s">
        <v>1</v>
      </c>
      <c r="C2" t="s">
        <v>2</v>
      </c>
      <c r="D2" t="s">
        <v>17</v>
      </c>
      <c r="E2" t="s">
        <v>14</v>
      </c>
      <c r="F2" t="s">
        <v>15</v>
      </c>
      <c r="G2" t="s">
        <v>12</v>
      </c>
      <c r="H2" t="s">
        <v>13</v>
      </c>
      <c r="I2" t="s">
        <v>9</v>
      </c>
    </row>
    <row r="3" spans="1:9" x14ac:dyDescent="0.25">
      <c r="A3" t="s">
        <v>3</v>
      </c>
      <c r="B3" s="3">
        <v>8.7769999999999992</v>
      </c>
      <c r="C3" s="3">
        <v>20.589179999999999</v>
      </c>
      <c r="D3" s="3"/>
      <c r="E3" s="1">
        <f>Tabelle1423[[#This Row],[x]]-0</f>
        <v>8.7769999999999992</v>
      </c>
      <c r="F3" s="1">
        <f>Tabelle1423[[#This Row],[y]]+0</f>
        <v>20.589179999999999</v>
      </c>
      <c r="G3" s="2">
        <f>Tabelle1423[[#This Row],[x2]]*$B$1</f>
        <v>219.42499999999998</v>
      </c>
      <c r="H3" s="2">
        <f>Tabelle1423[[#This Row],[y2]]*$B$1</f>
        <v>514.72949999999992</v>
      </c>
      <c r="I3" t="str" cm="1">
        <f t="array" ref="I3">toJson(Tabelle1423[[#This Row],[Punkte]],Tabelle1423[[#This Row],[x skaliert]],Tabelle1423[[#This Row],[y skaliert]],Tabelle1423[[#This Row],[Hide?]])</f>
        <v>{ "id" :"A0" ,"x":219.425,"y":514.7295,"base":true, "optic":"FG" , "idloc":"e" },</v>
      </c>
    </row>
    <row r="4" spans="1:9" x14ac:dyDescent="0.25">
      <c r="A4" t="s">
        <v>10</v>
      </c>
      <c r="B4" s="3">
        <v>4.5494700000000003</v>
      </c>
      <c r="C4" s="3">
        <v>18.47505</v>
      </c>
      <c r="D4" s="3"/>
      <c r="E4" s="1">
        <f>Tabelle1423[[#This Row],[x]]-0</f>
        <v>4.5494700000000003</v>
      </c>
      <c r="F4" s="1">
        <f>Tabelle1423[[#This Row],[y]]+0</f>
        <v>18.47505</v>
      </c>
      <c r="G4" s="2">
        <f>Tabelle1423[[#This Row],[x2]]*$B$1</f>
        <v>113.73675000000001</v>
      </c>
      <c r="H4" s="2">
        <f>Tabelle1423[[#This Row],[y2]]*$B$1</f>
        <v>461.87624999999997</v>
      </c>
      <c r="I4" t="str" cm="1">
        <f t="array" ref="I4">toJson(Tabelle1423[[#This Row],[Punkte]],Tabelle1423[[#This Row],[x skaliert]],Tabelle1423[[#This Row],[y skaliert]],Tabelle1423[[#This Row],[Hide?]])</f>
        <v>{ "id" :"A" ,"x":113.73675,"y":461.87625, "idloc":"e" },</v>
      </c>
    </row>
    <row r="5" spans="1:9" x14ac:dyDescent="0.25">
      <c r="A5" t="s">
        <v>4</v>
      </c>
      <c r="B5" s="3">
        <v>24.25611</v>
      </c>
      <c r="C5" s="3">
        <v>20.589179999999999</v>
      </c>
      <c r="D5" s="3"/>
      <c r="E5" s="1">
        <f>Tabelle1423[[#This Row],[x]]-0</f>
        <v>24.25611</v>
      </c>
      <c r="F5" s="1">
        <f>Tabelle1423[[#This Row],[y]]+0</f>
        <v>20.589179999999999</v>
      </c>
      <c r="G5" s="2">
        <f>Tabelle1423[[#This Row],[x2]]*$B$1</f>
        <v>606.40274999999997</v>
      </c>
      <c r="H5" s="2">
        <f>Tabelle1423[[#This Row],[y2]]*$B$1</f>
        <v>514.72949999999992</v>
      </c>
      <c r="I5" s="4" t="str" cm="1">
        <f t="array" ref="I5">toJson(Tabelle1423[[#This Row],[Punkte]],Tabelle1423[[#This Row],[x skaliert]],Tabelle1423[[#This Row],[y skaliert]],Tabelle1423[[#This Row],[Hide?]])</f>
        <v>{ "id" :"B0" ,"x":606.40275,"y":514.7295,"base":true, "optic":"FG" , "idloc":"e" },</v>
      </c>
    </row>
    <row r="6" spans="1:9" x14ac:dyDescent="0.25">
      <c r="A6" t="s">
        <v>8</v>
      </c>
      <c r="B6" s="3">
        <v>12.854950000000001</v>
      </c>
      <c r="C6" s="3">
        <v>22.51454</v>
      </c>
      <c r="D6" s="3"/>
      <c r="E6" s="1">
        <f>Tabelle1423[[#This Row],[x]]-0</f>
        <v>12.854950000000001</v>
      </c>
      <c r="F6" s="1">
        <f>Tabelle1423[[#This Row],[y]]+0</f>
        <v>22.51454</v>
      </c>
      <c r="G6" s="2">
        <f>Tabelle1423[[#This Row],[x2]]*$B$1</f>
        <v>321.37375000000003</v>
      </c>
      <c r="H6" s="2">
        <f>Tabelle1423[[#This Row],[y2]]*$B$1</f>
        <v>562.86350000000004</v>
      </c>
      <c r="I6" t="str" cm="1">
        <f t="array" ref="I6">toJson(Tabelle1423[[#This Row],[Punkte]],Tabelle1423[[#This Row],[x skaliert]],Tabelle1423[[#This Row],[y skaliert]],Tabelle1423[[#This Row],[Hide?]])</f>
        <v>{ "id" :"B" ,"x":321.37375,"y":562.8635, "idloc":"e" },</v>
      </c>
    </row>
    <row r="7" spans="1:9" hidden="1" x14ac:dyDescent="0.25">
      <c r="A7" t="s">
        <v>16</v>
      </c>
      <c r="B7" s="3">
        <v>155.59020000000001</v>
      </c>
      <c r="C7" s="3">
        <v>234.73084</v>
      </c>
      <c r="D7" s="3" t="s">
        <v>1</v>
      </c>
      <c r="E7" s="1">
        <f>Tabelle1423[[#This Row],[x]]-0</f>
        <v>155.59020000000001</v>
      </c>
      <c r="F7" s="1">
        <f>Tabelle1423[[#This Row],[y]]+0</f>
        <v>234.73084</v>
      </c>
      <c r="G7" s="2">
        <f>Tabelle1423[[#This Row],[x2]]*$B$1</f>
        <v>3889.7550000000001</v>
      </c>
      <c r="H7" s="2">
        <f>Tabelle1423[[#This Row],[y2]]*$B$1</f>
        <v>5868.2709999999997</v>
      </c>
      <c r="I7" s="4" t="str" cm="1">
        <f t="array" ref="I7">toJson(Tabelle1423[[#This Row],[Punkte]],Tabelle1423[[#This Row],[x skaliert]],Tabelle1423[[#This Row],[y skaliert]],Tabelle1423[[#This Row],[Hide?]])</f>
        <v>{ "id" :"B02" ,"x":3889.755,"y":5868.271,"base":true, "optic":"FG" , "hid":"true" , "idloc":"e" },</v>
      </c>
    </row>
    <row r="8" spans="1:9" x14ac:dyDescent="0.25">
      <c r="A8" t="s">
        <v>5</v>
      </c>
      <c r="B8" s="3">
        <v>15.30884</v>
      </c>
      <c r="C8" s="3">
        <v>15.870150000000001</v>
      </c>
      <c r="D8" s="3"/>
      <c r="E8" s="1">
        <f>Tabelle1423[[#This Row],[x]]-0</f>
        <v>15.30884</v>
      </c>
      <c r="F8" s="1">
        <f>Tabelle1423[[#This Row],[y]]+0</f>
        <v>15.870150000000001</v>
      </c>
      <c r="G8" s="2">
        <f>Tabelle1423[[#This Row],[x2]]*$B$1</f>
        <v>382.721</v>
      </c>
      <c r="H8" s="2">
        <f>Tabelle1423[[#This Row],[y2]]*$B$1</f>
        <v>396.75375000000003</v>
      </c>
      <c r="I8" t="str" cm="1">
        <f t="array" ref="I8">toJson(Tabelle1423[[#This Row],[Punkte]],Tabelle1423[[#This Row],[x skaliert]],Tabelle1423[[#This Row],[y skaliert]],Tabelle1423[[#This Row],[Hide?]])</f>
        <v>{ "id" :"C" ,"x":382.721,"y":396.75375, "idloc":"e" },</v>
      </c>
    </row>
    <row r="9" spans="1:9" x14ac:dyDescent="0.25">
      <c r="A9" t="s">
        <v>6</v>
      </c>
      <c r="B9" s="3">
        <v>20.480889999999999</v>
      </c>
      <c r="C9" s="3">
        <v>13.944789999999999</v>
      </c>
      <c r="D9" s="3"/>
      <c r="E9" s="1">
        <f>Tabelle1423[[#This Row],[x]]-0</f>
        <v>20.480889999999999</v>
      </c>
      <c r="F9" s="1">
        <f>Tabelle1423[[#This Row],[y]]+0</f>
        <v>13.944789999999999</v>
      </c>
      <c r="G9" s="2">
        <f>Tabelle1423[[#This Row],[x2]]*$B$1</f>
        <v>512.02224999999999</v>
      </c>
      <c r="H9" s="2">
        <f>Tabelle1423[[#This Row],[y2]]*$B$1</f>
        <v>348.61975000000001</v>
      </c>
      <c r="I9" t="str" cm="1">
        <f t="array" ref="I9">toJson(Tabelle1423[[#This Row],[Punkte]],Tabelle1423[[#This Row],[x skaliert]],Tabelle1423[[#This Row],[y skaliert]],Tabelle1423[[#This Row],[Hide?]])</f>
        <v>{ "id" :"D" ,"x":512.02225,"y":348.61975, "idloc":"e" },</v>
      </c>
    </row>
    <row r="10" spans="1:9" x14ac:dyDescent="0.25">
      <c r="A10" t="s">
        <v>7</v>
      </c>
      <c r="B10" s="3">
        <v>20.480889999999999</v>
      </c>
      <c r="C10" s="3">
        <v>24.779669999999999</v>
      </c>
      <c r="D10" s="3" t="s">
        <v>1</v>
      </c>
      <c r="E10" s="1">
        <f>Tabelle1423[[#This Row],[x]]-0</f>
        <v>20.480889999999999</v>
      </c>
      <c r="F10" s="1">
        <f>Tabelle1423[[#This Row],[y]]+0</f>
        <v>24.779669999999999</v>
      </c>
      <c r="G10" s="2">
        <f>Tabelle1423[[#This Row],[x2]]*$B$1</f>
        <v>512.02224999999999</v>
      </c>
      <c r="H10" s="2">
        <f>Tabelle1423[[#This Row],[y2]]*$B$1</f>
        <v>619.49175000000002</v>
      </c>
      <c r="I10" t="str" cm="1">
        <f t="array" ref="I10">toJson(Tabelle1423[[#This Row],[Punkte]],Tabelle1423[[#This Row],[x skaliert]],Tabelle1423[[#This Row],[y skaliert]],Tabelle1423[[#This Row],[Hide?]])</f>
        <v>{ "id" :"D0" ,"x":512.02225,"y":619.49175,"base":true, "optic":"FG" , "hid":"true" , "idloc":"e" },</v>
      </c>
    </row>
    <row r="11" spans="1:9" x14ac:dyDescent="0.25">
      <c r="B11" s="1"/>
      <c r="C11" s="1"/>
      <c r="D11" s="1"/>
      <c r="E11" s="1">
        <f>Tabelle1423[[#This Row],[x]]-0</f>
        <v>0</v>
      </c>
      <c r="F11" s="1">
        <f>Tabelle1423[[#This Row],[y]]+0</f>
        <v>0</v>
      </c>
      <c r="G11" s="1">
        <f>Tabelle1423[[#This Row],[x2]]*$B$1</f>
        <v>0</v>
      </c>
      <c r="H11" s="1">
        <f>Tabelle1423[[#This Row],[y2]]*$B$1</f>
        <v>0</v>
      </c>
      <c r="I11" t="str" cm="1">
        <f t="array" ref="I11">toJson(Tabelle1423[[#This Row],[Punkte]],Tabelle1423[[#This Row],[x skaliert]],Tabelle1423[[#This Row],[y skaliert]],Tabelle1423[[#This Row],[Hide?]])</f>
        <v>{ "id" :"" ,"x":0,"y":0, "idloc":"e" },</v>
      </c>
    </row>
    <row r="12" spans="1:9" x14ac:dyDescent="0.25">
      <c r="B12" s="1"/>
      <c r="C12" s="1"/>
      <c r="D12" s="1"/>
      <c r="E12" s="1">
        <f>Tabelle1423[[#This Row],[x]]-0</f>
        <v>0</v>
      </c>
      <c r="F12" s="1">
        <f>Tabelle1423[[#This Row],[y]]+0</f>
        <v>0</v>
      </c>
      <c r="G12" s="1">
        <f>Tabelle1423[[#This Row],[x2]]*$B$1</f>
        <v>0</v>
      </c>
      <c r="H12" s="1">
        <f>Tabelle1423[[#This Row],[y2]]*$B$1</f>
        <v>0</v>
      </c>
      <c r="I12" t="str" cm="1">
        <f t="array" ref="I12">toJson(Tabelle1423[[#This Row],[Punkte]],Tabelle1423[[#This Row],[x skaliert]],Tabelle1423[[#This Row],[y skaliert]],Tabelle1423[[#This Row],[Hide?]])</f>
        <v>{ "id" :"" ,"x":0,"y":0, "idloc":"e" },</v>
      </c>
    </row>
    <row r="13" spans="1:9" x14ac:dyDescent="0.25">
      <c r="B13" s="1"/>
      <c r="C13" s="1"/>
      <c r="D13" s="1"/>
      <c r="E13" s="1">
        <f>Tabelle1423[[#This Row],[x]]-0</f>
        <v>0</v>
      </c>
      <c r="F13" s="1">
        <f>Tabelle1423[[#This Row],[y]]+0</f>
        <v>0</v>
      </c>
      <c r="G13" s="1">
        <f>Tabelle1423[[#This Row],[x2]]*$B$1</f>
        <v>0</v>
      </c>
      <c r="H13" s="1">
        <f>Tabelle1423[[#This Row],[y2]]*$B$1</f>
        <v>0</v>
      </c>
      <c r="I13" t="str" cm="1">
        <f t="array" ref="I13">toJson(Tabelle1423[[#This Row],[Punkte]],Tabelle1423[[#This Row],[x skaliert]],Tabelle1423[[#This Row],[y skaliert]],Tabelle1423[[#This Row],[Hide?]])</f>
        <v>{ "id" :"" ,"x":0,"y":0, "idloc":"e" },</v>
      </c>
    </row>
    <row r="14" spans="1:9" x14ac:dyDescent="0.25">
      <c r="B14" s="1"/>
      <c r="C14" s="1"/>
      <c r="D14" s="1"/>
      <c r="E14" s="1">
        <f>Tabelle1423[[#This Row],[x]]-0</f>
        <v>0</v>
      </c>
      <c r="F14" s="1">
        <f>Tabelle1423[[#This Row],[y]]+0</f>
        <v>0</v>
      </c>
      <c r="G14" s="1">
        <f>Tabelle1423[[#This Row],[x2]]*$B$1</f>
        <v>0</v>
      </c>
      <c r="H14" s="1">
        <f>Tabelle1423[[#This Row],[y2]]*$B$1</f>
        <v>0</v>
      </c>
      <c r="I14" t="str" cm="1">
        <f t="array" ref="I14">toJson(Tabelle1423[[#This Row],[Punkte]],Tabelle1423[[#This Row],[x skaliert]],Tabelle1423[[#This Row],[y skaliert]],Tabelle1423[[#This Row],[Hide?]])</f>
        <v>{ "id" :"" ,"x":0,"y":0, "idloc":"e" },</v>
      </c>
    </row>
    <row r="15" spans="1:9" x14ac:dyDescent="0.25">
      <c r="B15" s="1"/>
      <c r="C15" s="1"/>
      <c r="D15" s="1"/>
      <c r="E15" s="1">
        <f>Tabelle1423[[#This Row],[x]]-0</f>
        <v>0</v>
      </c>
      <c r="F15" s="1">
        <f>Tabelle1423[[#This Row],[y]]+0</f>
        <v>0</v>
      </c>
      <c r="G15" s="1">
        <f>Tabelle1423[[#This Row],[x2]]*$B$1</f>
        <v>0</v>
      </c>
      <c r="H15" s="1">
        <f>Tabelle1423[[#This Row],[y2]]*$B$1</f>
        <v>0</v>
      </c>
      <c r="I15" t="str" cm="1">
        <f t="array" ref="I15">toJson(Tabelle1423[[#This Row],[Punkte]],Tabelle1423[[#This Row],[x skaliert]],Tabelle1423[[#This Row],[y skaliert]],Tabelle1423[[#This Row],[Hide?]])</f>
        <v>{ "id" :"" ,"x":0,"y":0, "idloc":"e" },</v>
      </c>
    </row>
    <row r="16" spans="1:9" x14ac:dyDescent="0.25">
      <c r="B16" s="1"/>
      <c r="C16" s="1"/>
      <c r="D16" s="1"/>
      <c r="E16" s="1">
        <f>Tabelle1423[[#This Row],[x]]-0</f>
        <v>0</v>
      </c>
      <c r="F16" s="1">
        <f>Tabelle1423[[#This Row],[y]]+0</f>
        <v>0</v>
      </c>
      <c r="G16" s="1">
        <f>Tabelle1423[[#This Row],[x2]]*$B$1</f>
        <v>0</v>
      </c>
      <c r="H16" s="1">
        <f>Tabelle1423[[#This Row],[y2]]*$B$1</f>
        <v>0</v>
      </c>
      <c r="I16" t="str" cm="1">
        <f t="array" ref="I16">toJson(Tabelle1423[[#This Row],[Punkte]],Tabelle1423[[#This Row],[x skaliert]],Tabelle1423[[#This Row],[y skaliert]],Tabelle1423[[#This Row],[Hide?]])</f>
        <v>{ "id" :"" ,"x":0,"y":0, "idloc":"e" },</v>
      </c>
    </row>
    <row r="17" spans="2:9" x14ac:dyDescent="0.25">
      <c r="B17" s="1"/>
      <c r="C17" s="1"/>
      <c r="D17" s="1"/>
      <c r="E17" s="1">
        <f>Tabelle1423[[#This Row],[x]]-0</f>
        <v>0</v>
      </c>
      <c r="F17" s="1">
        <f>Tabelle1423[[#This Row],[y]]+0</f>
        <v>0</v>
      </c>
      <c r="G17" s="1">
        <f>Tabelle1423[[#This Row],[x2]]*$B$1</f>
        <v>0</v>
      </c>
      <c r="H17" s="1">
        <f>Tabelle1423[[#This Row],[y2]]*$B$1</f>
        <v>0</v>
      </c>
      <c r="I17" t="str" cm="1">
        <f t="array" ref="I17">toJson(Tabelle1423[[#This Row],[Punkte]],Tabelle1423[[#This Row],[x skaliert]],Tabelle1423[[#This Row],[y skaliert]],Tabelle1423[[#This Row],[Hide?]])</f>
        <v>{ "id" :"" ,"x":0,"y":0, "idloc":"e" },</v>
      </c>
    </row>
    <row r="18" spans="2:9" x14ac:dyDescent="0.25">
      <c r="B18" s="1"/>
      <c r="C18" s="1"/>
      <c r="D18" s="1"/>
      <c r="E18" s="1">
        <f>Tabelle1423[[#This Row],[x]]-0</f>
        <v>0</v>
      </c>
      <c r="F18" s="1">
        <f>Tabelle1423[[#This Row],[y]]+0</f>
        <v>0</v>
      </c>
      <c r="G18" s="1">
        <f>Tabelle1423[[#This Row],[x2]]*$B$1</f>
        <v>0</v>
      </c>
      <c r="H18" s="1">
        <f>Tabelle1423[[#This Row],[y2]]*$B$1</f>
        <v>0</v>
      </c>
      <c r="I18" t="str" cm="1">
        <f t="array" ref="I18">toJson(Tabelle1423[[#This Row],[Punkte]],Tabelle1423[[#This Row],[x skaliert]],Tabelle1423[[#This Row],[y skaliert]],Tabelle1423[[#This Row],[Hide?]])</f>
        <v>{ "id" :"" ,"x":0,"y":0, "idloc":"e" },</v>
      </c>
    </row>
    <row r="19" spans="2:9" x14ac:dyDescent="0.25">
      <c r="E19" s="1">
        <f>Tabelle1423[[#This Row],[x]]-0</f>
        <v>0</v>
      </c>
      <c r="F19" s="1">
        <f>Tabelle1423[[#This Row],[y]]+0</f>
        <v>0</v>
      </c>
      <c r="G19" s="1">
        <f>Tabelle1423[[#This Row],[x2]]*$B$1</f>
        <v>0</v>
      </c>
      <c r="H19" s="1">
        <f>Tabelle1423[[#This Row],[y2]]*$B$1</f>
        <v>0</v>
      </c>
      <c r="I19" t="str" cm="1">
        <f t="array" ref="I19">toJson(Tabelle1423[[#This Row],[Punkte]],Tabelle1423[[#This Row],[x skaliert]],Tabelle1423[[#This Row],[y skaliert]],Tabelle1423[[#This Row],[Hide?]])</f>
        <v>{ "id" :"" ,"x":0,"y":0, "idloc":"e" },</v>
      </c>
    </row>
    <row r="20" spans="2:9" x14ac:dyDescent="0.25">
      <c r="E20" s="1">
        <f>Tabelle1423[[#This Row],[x]]-0</f>
        <v>0</v>
      </c>
      <c r="F20" s="1">
        <f>Tabelle1423[[#This Row],[y]]+0</f>
        <v>0</v>
      </c>
      <c r="G20" s="1">
        <f>Tabelle1423[[#This Row],[x2]]*$B$1</f>
        <v>0</v>
      </c>
      <c r="H20" s="1">
        <f>Tabelle1423[[#This Row],[y2]]*$B$1</f>
        <v>0</v>
      </c>
      <c r="I20" t="str" cm="1">
        <f t="array" ref="I20">toJson(Tabelle1423[[#This Row],[Punkte]],Tabelle1423[[#This Row],[x skaliert]],Tabelle1423[[#This Row],[y skaliert]],Tabelle1423[[#This Row],[Hide?]])</f>
        <v>{ "id" :"" ,"x":0,"y":0, "idloc":"e" },</v>
      </c>
    </row>
    <row r="21" spans="2:9" x14ac:dyDescent="0.25">
      <c r="E21" s="1">
        <f>Tabelle1423[[#This Row],[x]]-0</f>
        <v>0</v>
      </c>
      <c r="F21" s="1">
        <f>Tabelle1423[[#This Row],[y]]+0</f>
        <v>0</v>
      </c>
      <c r="G21" s="1">
        <f>Tabelle1423[[#This Row],[x2]]*$B$1</f>
        <v>0</v>
      </c>
      <c r="H21" s="1">
        <f>Tabelle1423[[#This Row],[y2]]*$B$1</f>
        <v>0</v>
      </c>
      <c r="I21" t="str" cm="1">
        <f t="array" ref="I21">toJson(Tabelle1423[[#This Row],[Punkte]],Tabelle1423[[#This Row],[x skaliert]],Tabelle1423[[#This Row],[y skaliert]],Tabelle1423[[#This Row],[Hide?]])</f>
        <v>{ "id" :"" ,"x":0,"y":0, "idloc":"e" },</v>
      </c>
    </row>
    <row r="22" spans="2:9" x14ac:dyDescent="0.25">
      <c r="E22" s="1">
        <f>Tabelle1423[[#This Row],[x]]-0</f>
        <v>0</v>
      </c>
      <c r="F22" s="1">
        <f>Tabelle1423[[#This Row],[y]]+0</f>
        <v>0</v>
      </c>
      <c r="G22" s="1">
        <f>Tabelle1423[[#This Row],[x2]]*$B$1</f>
        <v>0</v>
      </c>
      <c r="H22" s="1">
        <f>Tabelle1423[[#This Row],[y2]]*$B$1</f>
        <v>0</v>
      </c>
      <c r="I22" t="str" cm="1">
        <f t="array" ref="I22">toJson(Tabelle1423[[#This Row],[Punkte]],Tabelle1423[[#This Row],[x skaliert]],Tabelle1423[[#This Row],[y skaliert]],Tabelle1423[[#This Row],[Hide?]])</f>
        <v>{ "id" :"" ,"x":0,"y":0, "idloc":"e" },</v>
      </c>
    </row>
    <row r="23" spans="2:9" x14ac:dyDescent="0.25">
      <c r="E23" s="1">
        <f>Tabelle1423[[#This Row],[x]]-0</f>
        <v>0</v>
      </c>
      <c r="F23" s="1">
        <f>Tabelle1423[[#This Row],[y]]+0</f>
        <v>0</v>
      </c>
      <c r="G23" s="1">
        <f>Tabelle1423[[#This Row],[x2]]*$B$1</f>
        <v>0</v>
      </c>
      <c r="H23" s="1">
        <f>Tabelle1423[[#This Row],[y2]]*$B$1</f>
        <v>0</v>
      </c>
      <c r="I23" t="str" cm="1">
        <f t="array" ref="I23">toJson(Tabelle1423[[#This Row],[Punkte]],Tabelle1423[[#This Row],[x skaliert]],Tabelle1423[[#This Row],[y skaliert]],Tabelle1423[[#This Row],[Hide?]])</f>
        <v>{ "id" :"" ,"x":0,"y":0, "idloc":"e" },</v>
      </c>
    </row>
    <row r="24" spans="2:9" x14ac:dyDescent="0.25">
      <c r="E24" s="1">
        <f>Tabelle1423[[#This Row],[x]]-0</f>
        <v>0</v>
      </c>
      <c r="F24" s="1">
        <f>Tabelle1423[[#This Row],[y]]+0</f>
        <v>0</v>
      </c>
      <c r="G24" s="1">
        <f>Tabelle1423[[#This Row],[x2]]*$B$1</f>
        <v>0</v>
      </c>
      <c r="H24" s="1">
        <f>Tabelle1423[[#This Row],[y2]]*$B$1</f>
        <v>0</v>
      </c>
      <c r="I24" t="str" cm="1">
        <f t="array" ref="I24">toJson(Tabelle1423[[#This Row],[Punkte]],Tabelle1423[[#This Row],[x skaliert]],Tabelle1423[[#This Row],[y skaliert]],Tabelle1423[[#This Row],[Hide?]])</f>
        <v>{ "id" :"" ,"x":0,"y":0, "idloc":"e" },</v>
      </c>
    </row>
    <row r="25" spans="2:9" x14ac:dyDescent="0.25">
      <c r="E25" s="1">
        <f>Tabelle1423[[#This Row],[x]]-0</f>
        <v>0</v>
      </c>
      <c r="F25" s="1">
        <f>Tabelle1423[[#This Row],[y]]+0</f>
        <v>0</v>
      </c>
      <c r="G25" s="1">
        <f>Tabelle1423[[#This Row],[x2]]*$B$1</f>
        <v>0</v>
      </c>
      <c r="H25" s="1">
        <f>Tabelle1423[[#This Row],[y2]]*$B$1</f>
        <v>0</v>
      </c>
      <c r="I25" t="str" cm="1">
        <f t="array" ref="I25">toJson(Tabelle1423[[#This Row],[Punkte]],Tabelle1423[[#This Row],[x skaliert]],Tabelle1423[[#This Row],[y skaliert]],Tabelle1423[[#This Row],[Hide?]])</f>
        <v>{ "id" :"" ,"x":0,"y":0, "idloc":"e" },</v>
      </c>
    </row>
    <row r="26" spans="2:9" x14ac:dyDescent="0.25">
      <c r="E26" s="1">
        <f>Tabelle1423[[#This Row],[x]]-0</f>
        <v>0</v>
      </c>
      <c r="F26" s="1">
        <f>Tabelle1423[[#This Row],[y]]+0</f>
        <v>0</v>
      </c>
      <c r="G26" s="1">
        <f>Tabelle1423[[#This Row],[x2]]*$B$1</f>
        <v>0</v>
      </c>
      <c r="H26" s="1">
        <f>Tabelle1423[[#This Row],[y2]]*$B$1</f>
        <v>0</v>
      </c>
      <c r="I26" t="str" cm="1">
        <f t="array" ref="I26">toJson(Tabelle1423[[#This Row],[Punkte]],Tabelle1423[[#This Row],[x skaliert]],Tabelle1423[[#This Row],[y skaliert]],Tabelle1423[[#This Row],[Hide?]])</f>
        <v>{ "id" :"" ,"x":0,"y":0, "idloc":"e" },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F43B-EDB5-4B3A-9001-51093046157D}">
  <sheetPr codeName="Tabelle6"/>
  <dimension ref="A1:J26"/>
  <sheetViews>
    <sheetView workbookViewId="0">
      <selection activeCell="J3" sqref="J3:J14"/>
    </sheetView>
  </sheetViews>
  <sheetFormatPr baseColWidth="10" defaultColWidth="9.140625" defaultRowHeight="15" x14ac:dyDescent="0.25"/>
  <cols>
    <col min="1" max="1" width="11.7109375" customWidth="1"/>
    <col min="2" max="2" width="11.85546875" customWidth="1"/>
    <col min="3" max="5" width="13" customWidth="1"/>
    <col min="8" max="8" width="11.85546875" customWidth="1"/>
    <col min="9" max="9" width="12" customWidth="1"/>
    <col min="10" max="10" width="62" customWidth="1"/>
  </cols>
  <sheetData>
    <row r="1" spans="1:10" x14ac:dyDescent="0.25">
      <c r="A1" t="s">
        <v>11</v>
      </c>
      <c r="B1" s="1">
        <v>1.5</v>
      </c>
      <c r="D1" t="s">
        <v>21</v>
      </c>
    </row>
    <row r="2" spans="1:10" x14ac:dyDescent="0.25">
      <c r="A2" t="s">
        <v>0</v>
      </c>
      <c r="B2" t="s">
        <v>1</v>
      </c>
      <c r="C2" t="s">
        <v>2</v>
      </c>
      <c r="D2" t="s">
        <v>17</v>
      </c>
      <c r="E2" t="s">
        <v>22</v>
      </c>
      <c r="F2" t="s">
        <v>14</v>
      </c>
      <c r="G2" t="s">
        <v>15</v>
      </c>
      <c r="H2" t="s">
        <v>12</v>
      </c>
      <c r="I2" t="s">
        <v>13</v>
      </c>
      <c r="J2" t="s">
        <v>9</v>
      </c>
    </row>
    <row r="3" spans="1:10" x14ac:dyDescent="0.25">
      <c r="A3" t="s">
        <v>3</v>
      </c>
      <c r="B3" s="3">
        <v>0</v>
      </c>
      <c r="C3" s="3">
        <v>0</v>
      </c>
      <c r="D3" s="3"/>
      <c r="E3" s="3" t="s">
        <v>23</v>
      </c>
      <c r="F3" s="1">
        <f>Tabelle14235[[#This Row],[x]]-0</f>
        <v>0</v>
      </c>
      <c r="G3" s="1">
        <f>Tabelle14235[[#This Row],[y]]+0</f>
        <v>0</v>
      </c>
      <c r="H3" s="2">
        <f>Tabelle14235[[#This Row],[x2]]*$B$1</f>
        <v>0</v>
      </c>
      <c r="I3" s="2">
        <f>Tabelle14235[[#This Row],[y2]]*$B$1</f>
        <v>0</v>
      </c>
      <c r="J3" t="str" cm="1">
        <f t="array" ref="J3">toJson(Tabelle14235[[#This Row],[Punkte]],Tabelle14235[[#This Row],[x skaliert]],Tabelle14235[[#This Row],[y skaliert]],Tabelle14235[[#This Row],[Hide?]],Tabelle14235[[#This Row],[idloc]])</f>
        <v>{ "id" :"A0" ,"x":0,"y":0,"base":true, "optic":"FG" , "idloc":"w" },</v>
      </c>
    </row>
    <row r="4" spans="1:10" x14ac:dyDescent="0.25">
      <c r="A4" t="s">
        <v>10</v>
      </c>
      <c r="B4" s="3">
        <v>19.162389999999998</v>
      </c>
      <c r="C4" s="3">
        <v>5.7273899999999998</v>
      </c>
      <c r="D4" s="3"/>
      <c r="E4" s="3" t="s">
        <v>23</v>
      </c>
      <c r="F4" s="1">
        <f>Tabelle14235[[#This Row],[x]]-0</f>
        <v>19.162389999999998</v>
      </c>
      <c r="G4" s="1">
        <f>Tabelle14235[[#This Row],[y]]+0</f>
        <v>5.7273899999999998</v>
      </c>
      <c r="H4" s="2">
        <f>Tabelle14235[[#This Row],[x2]]*$B$1</f>
        <v>28.743584999999996</v>
      </c>
      <c r="I4" s="2">
        <f>Tabelle14235[[#This Row],[y2]]*$B$1</f>
        <v>8.5910849999999996</v>
      </c>
      <c r="J4" t="str" cm="1">
        <f t="array" ref="J4">toJson(Tabelle14235[[#This Row],[Punkte]],Tabelle14235[[#This Row],[x skaliert]],Tabelle14235[[#This Row],[y skaliert]],Tabelle14235[[#This Row],[Hide?]],Tabelle14235[[#This Row],[idloc]])</f>
        <v>{ "id" :"A" ,"x":28.743585,"y":8.591085, "idloc":"w" },</v>
      </c>
    </row>
    <row r="5" spans="1:10" x14ac:dyDescent="0.25">
      <c r="A5" t="s">
        <v>4</v>
      </c>
      <c r="B5" s="3">
        <v>125.6</v>
      </c>
      <c r="C5" s="3">
        <v>-34.5</v>
      </c>
      <c r="D5" s="3"/>
      <c r="E5" s="3" t="s">
        <v>24</v>
      </c>
      <c r="F5" s="1">
        <f>Tabelle14235[[#This Row],[x]]-0</f>
        <v>125.6</v>
      </c>
      <c r="G5" s="1">
        <f>Tabelle14235[[#This Row],[y]]+0</f>
        <v>-34.5</v>
      </c>
      <c r="H5" s="2">
        <f>Tabelle14235[[#This Row],[x2]]*$B$1</f>
        <v>188.39999999999998</v>
      </c>
      <c r="I5" s="2">
        <f>Tabelle14235[[#This Row],[y2]]*$B$1</f>
        <v>-51.75</v>
      </c>
      <c r="J5" s="4" t="str" cm="1">
        <f t="array" ref="J5">toJson(Tabelle14235[[#This Row],[Punkte]],Tabelle14235[[#This Row],[x skaliert]],Tabelle14235[[#This Row],[y skaliert]],Tabelle14235[[#This Row],[Hide?]],Tabelle14235[[#This Row],[idloc]])</f>
        <v>{ "id" :"B0" ,"x":188.4,"y":-51.75,"base":true, "optic":"FG" , "idloc":"e" },</v>
      </c>
    </row>
    <row r="6" spans="1:10" x14ac:dyDescent="0.25">
      <c r="A6" t="s">
        <v>8</v>
      </c>
      <c r="B6" s="3">
        <v>121.84172</v>
      </c>
      <c r="C6" s="3">
        <v>36.442120000000003</v>
      </c>
      <c r="D6" s="3"/>
      <c r="E6" s="3" t="s">
        <v>24</v>
      </c>
      <c r="F6" s="1">
        <f>Tabelle14235[[#This Row],[x]]-0</f>
        <v>121.84172</v>
      </c>
      <c r="G6" s="1">
        <f>Tabelle14235[[#This Row],[y]]+0</f>
        <v>36.442120000000003</v>
      </c>
      <c r="H6" s="2">
        <f>Tabelle14235[[#This Row],[x2]]*$B$1</f>
        <v>182.76257999999999</v>
      </c>
      <c r="I6" s="2">
        <f>Tabelle14235[[#This Row],[y2]]*$B$1</f>
        <v>54.663180000000004</v>
      </c>
      <c r="J6" t="str" cm="1">
        <f t="array" ref="J6">toJson(Tabelle14235[[#This Row],[Punkte]],Tabelle14235[[#This Row],[x skaliert]],Tabelle14235[[#This Row],[y skaliert]],Tabelle14235[[#This Row],[Hide?]],Tabelle14235[[#This Row],[idloc]])</f>
        <v>{ "id" :"B" ,"x":182.76258,"y":54.66318, "idloc":"e" },</v>
      </c>
    </row>
    <row r="7" spans="1:10" hidden="1" x14ac:dyDescent="0.25">
      <c r="A7" t="s">
        <v>16</v>
      </c>
      <c r="B7" s="3">
        <v>155.59020000000001</v>
      </c>
      <c r="C7" s="3">
        <v>234.73084</v>
      </c>
      <c r="D7" s="3" t="s">
        <v>1</v>
      </c>
      <c r="E7" s="3" t="s">
        <v>24</v>
      </c>
      <c r="F7" s="1">
        <f>Tabelle14235[[#This Row],[x]]-0</f>
        <v>155.59020000000001</v>
      </c>
      <c r="G7" s="1">
        <f>Tabelle14235[[#This Row],[y]]+0</f>
        <v>234.73084</v>
      </c>
      <c r="H7" s="2">
        <f>Tabelle14235[[#This Row],[x2]]*$B$1</f>
        <v>233.38530000000003</v>
      </c>
      <c r="I7" s="2">
        <f>Tabelle14235[[#This Row],[y2]]*$B$1</f>
        <v>352.09626000000003</v>
      </c>
      <c r="J7" s="4" t="str" cm="1">
        <f t="array" ref="J7">toJson(Tabelle14235[[#This Row],[Punkte]],Tabelle14235[[#This Row],[x skaliert]],Tabelle14235[[#This Row],[y skaliert]],Tabelle14235[[#This Row],[Hide?]],Tabelle14235[[#This Row],[idloc]])</f>
        <v>{ "id" :"B02" ,"x":233.3853,"y":352.09626,"base":true, "optic":"FG" , "hid":"true" , "idloc":"e" },</v>
      </c>
    </row>
    <row r="8" spans="1:10" x14ac:dyDescent="0.25">
      <c r="A8" t="s">
        <v>5</v>
      </c>
      <c r="B8" s="3">
        <v>32.973930000000003</v>
      </c>
      <c r="C8" s="3">
        <v>103.7769</v>
      </c>
      <c r="D8" s="3"/>
      <c r="E8" s="3" t="s">
        <v>24</v>
      </c>
      <c r="F8" s="1">
        <f>Tabelle14235[[#This Row],[x]]-0</f>
        <v>32.973930000000003</v>
      </c>
      <c r="G8" s="1">
        <f>Tabelle14235[[#This Row],[y]]+0</f>
        <v>103.7769</v>
      </c>
      <c r="H8" s="2">
        <f>Tabelle14235[[#This Row],[x2]]*$B$1</f>
        <v>49.460895000000008</v>
      </c>
      <c r="I8" s="2">
        <f>Tabelle14235[[#This Row],[y2]]*$B$1</f>
        <v>155.66534999999999</v>
      </c>
      <c r="J8" t="str" cm="1">
        <f t="array" ref="J8">toJson(Tabelle14235[[#This Row],[Punkte]],Tabelle14235[[#This Row],[x skaliert]],Tabelle14235[[#This Row],[y skaliert]],Tabelle14235[[#This Row],[Hide?]],Tabelle14235[[#This Row],[idloc]])</f>
        <v>{ "id" :"C" ,"x":49.460895,"y":155.66535, "idloc":"e" },</v>
      </c>
    </row>
    <row r="9" spans="1:10" x14ac:dyDescent="0.25">
      <c r="A9" t="s">
        <v>6</v>
      </c>
      <c r="B9" s="3">
        <v>61.495150000000002</v>
      </c>
      <c r="C9" s="3">
        <v>45.898249999999997</v>
      </c>
      <c r="D9" s="3"/>
      <c r="E9" s="3" t="s">
        <v>24</v>
      </c>
      <c r="F9" s="1">
        <f>Tabelle14235[[#This Row],[x]]-0</f>
        <v>61.495150000000002</v>
      </c>
      <c r="G9" s="1">
        <f>Tabelle14235[[#This Row],[y]]+0</f>
        <v>45.898249999999997</v>
      </c>
      <c r="H9" s="2">
        <f>Tabelle14235[[#This Row],[x2]]*$B$1</f>
        <v>92.242725000000007</v>
      </c>
      <c r="I9" s="2">
        <f>Tabelle14235[[#This Row],[y2]]*$B$1</f>
        <v>68.847375</v>
      </c>
      <c r="J9" t="str" cm="1">
        <f t="array" ref="J9">toJson(Tabelle14235[[#This Row],[Punkte]],Tabelle14235[[#This Row],[x skaliert]],Tabelle14235[[#This Row],[y skaliert]],Tabelle14235[[#This Row],[Hide?]],Tabelle14235[[#This Row],[idloc]])</f>
        <v>{ "id" :"D" ,"x":92.242725,"y":68.847375, "idloc":"e" },</v>
      </c>
    </row>
    <row r="10" spans="1:10" x14ac:dyDescent="0.25">
      <c r="A10" t="s">
        <v>7</v>
      </c>
      <c r="B10" s="3">
        <v>105.8</v>
      </c>
      <c r="C10" s="3">
        <v>144</v>
      </c>
      <c r="D10" s="3"/>
      <c r="E10" s="3" t="s">
        <v>24</v>
      </c>
      <c r="F10" s="1">
        <f>Tabelle14235[[#This Row],[x]]-0</f>
        <v>105.8</v>
      </c>
      <c r="G10" s="1">
        <f>Tabelle14235[[#This Row],[y]]+0</f>
        <v>144</v>
      </c>
      <c r="H10" s="2">
        <f>Tabelle14235[[#This Row],[x2]]*$B$1</f>
        <v>158.69999999999999</v>
      </c>
      <c r="I10" s="2">
        <f>Tabelle14235[[#This Row],[y2]]*$B$1</f>
        <v>216</v>
      </c>
      <c r="J10" t="str" cm="1">
        <f t="array" ref="J10">toJson(Tabelle14235[[#This Row],[Punkte]],Tabelle14235[[#This Row],[x skaliert]],Tabelle14235[[#This Row],[y skaliert]],Tabelle14235[[#This Row],[Hide?]],Tabelle14235[[#This Row],[idloc]])</f>
        <v>{ "id" :"D0" ,"x":158.7,"y":216,"base":true, "optic":"FG" , "idloc":"e" },</v>
      </c>
    </row>
    <row r="11" spans="1:10" x14ac:dyDescent="0.25">
      <c r="A11" t="s">
        <v>18</v>
      </c>
      <c r="B11" s="1">
        <v>2.9047700000000001</v>
      </c>
      <c r="C11" s="1">
        <v>139.20952</v>
      </c>
      <c r="D11" s="1"/>
      <c r="E11" s="3" t="s">
        <v>23</v>
      </c>
      <c r="F11" s="1">
        <f>Tabelle14235[[#This Row],[x]]-0</f>
        <v>2.9047700000000001</v>
      </c>
      <c r="G11" s="1">
        <f>Tabelle14235[[#This Row],[y]]+0</f>
        <v>139.20952</v>
      </c>
      <c r="H11" s="1">
        <f>Tabelle14235[[#This Row],[x2]]*$B$1</f>
        <v>4.3571550000000006</v>
      </c>
      <c r="I11" s="1">
        <f>Tabelle14235[[#This Row],[y2]]*$B$1</f>
        <v>208.81428</v>
      </c>
      <c r="J11" t="str" cm="1">
        <f t="array" ref="J11">toJson(Tabelle14235[[#This Row],[Punkte]],Tabelle14235[[#This Row],[x skaliert]],Tabelle14235[[#This Row],[y skaliert]],Tabelle14235[[#This Row],[Hide?]],Tabelle14235[[#This Row],[idloc]])</f>
        <v>{ "id" :"E" ,"x":4.357155,"y":208.81428, "idloc":"w" },</v>
      </c>
    </row>
    <row r="12" spans="1:10" x14ac:dyDescent="0.25">
      <c r="A12" t="s">
        <v>19</v>
      </c>
      <c r="B12" s="1">
        <v>3.09856</v>
      </c>
      <c r="C12" s="1">
        <v>279.88353999999998</v>
      </c>
      <c r="D12" s="1"/>
      <c r="E12" s="3" t="s">
        <v>24</v>
      </c>
      <c r="F12" s="1">
        <f>Tabelle14235[[#This Row],[x]]-0</f>
        <v>3.09856</v>
      </c>
      <c r="G12" s="1">
        <f>Tabelle14235[[#This Row],[y]]+0</f>
        <v>279.88353999999998</v>
      </c>
      <c r="H12" s="1">
        <f>Tabelle14235[[#This Row],[x2]]*$B$1</f>
        <v>4.6478400000000004</v>
      </c>
      <c r="I12" s="1">
        <f>Tabelle14235[[#This Row],[y2]]*$B$1</f>
        <v>419.82530999999994</v>
      </c>
      <c r="J12" t="str" cm="1">
        <f t="array" ref="J12">toJson(Tabelle14235[[#This Row],[Punkte]],Tabelle14235[[#This Row],[x skaliert]],Tabelle14235[[#This Row],[y skaliert]],Tabelle14235[[#This Row],[Hide?]],Tabelle14235[[#This Row],[idloc]])</f>
        <v>{ "id" :"F" ,"x":4.64784,"y":419.82531, "idloc":"e" },</v>
      </c>
    </row>
    <row r="13" spans="1:10" x14ac:dyDescent="0.25">
      <c r="A13" t="s">
        <v>20</v>
      </c>
      <c r="B13" s="1">
        <v>3.09856</v>
      </c>
      <c r="C13" s="1">
        <v>290</v>
      </c>
      <c r="D13" s="1" t="s">
        <v>1</v>
      </c>
      <c r="E13" s="3" t="s">
        <v>24</v>
      </c>
      <c r="F13" s="1">
        <f>Tabelle14235[[#This Row],[x]]-0</f>
        <v>3.09856</v>
      </c>
      <c r="G13" s="1">
        <f>Tabelle14235[[#This Row],[y]]+0</f>
        <v>290</v>
      </c>
      <c r="H13" s="1">
        <f>Tabelle14235[[#This Row],[x2]]*$B$1</f>
        <v>4.6478400000000004</v>
      </c>
      <c r="I13" s="1">
        <f>Tabelle14235[[#This Row],[y2]]*$B$1</f>
        <v>435</v>
      </c>
      <c r="J13" t="str" cm="1">
        <f t="array" ref="J13">toJson(Tabelle14235[[#This Row],[Punkte]],Tabelle14235[[#This Row],[x skaliert]],Tabelle14235[[#This Row],[y skaliert]],Tabelle14235[[#This Row],[Hide?]],Tabelle14235[[#This Row],[idloc]])</f>
        <v>{ "id" :"F0" ,"x":4.64784,"y":435,"base":true, "optic":"FG" , "hid":"true" , "idloc":"e" },</v>
      </c>
    </row>
    <row r="14" spans="1:10" x14ac:dyDescent="0.25">
      <c r="A14" t="s">
        <v>25</v>
      </c>
      <c r="B14" s="1">
        <v>-22</v>
      </c>
      <c r="C14" s="1">
        <v>361.87</v>
      </c>
      <c r="D14" s="1"/>
      <c r="E14" s="1" t="s">
        <v>23</v>
      </c>
      <c r="F14" s="1">
        <f>Tabelle14235[[#This Row],[x]]-0</f>
        <v>-22</v>
      </c>
      <c r="G14" s="1">
        <f>Tabelle14235[[#This Row],[y]]+0</f>
        <v>361.87</v>
      </c>
      <c r="H14" s="1">
        <f>Tabelle14235[[#This Row],[x2]]*$B$1</f>
        <v>-33</v>
      </c>
      <c r="I14" s="1">
        <f>Tabelle14235[[#This Row],[y2]]*$B$1</f>
        <v>542.80500000000006</v>
      </c>
      <c r="J14" t="str" cm="1">
        <f t="array" ref="J14">toJson(Tabelle14235[[#This Row],[Punkte]],Tabelle14235[[#This Row],[x skaliert]],Tabelle14235[[#This Row],[y skaliert]],Tabelle14235[[#This Row],[Hide?]],Tabelle14235[[#This Row],[idloc]])</f>
        <v>{ "id" :"G" ,"x":-33,"y":542.805, "idloc":"w" },</v>
      </c>
    </row>
    <row r="15" spans="1:10" x14ac:dyDescent="0.25">
      <c r="B15" s="1"/>
      <c r="C15" s="1"/>
      <c r="D15" s="1"/>
      <c r="E15" s="1"/>
      <c r="F15" s="1">
        <f>Tabelle14235[[#This Row],[x]]-0</f>
        <v>0</v>
      </c>
      <c r="G15" s="1">
        <f>Tabelle14235[[#This Row],[y]]+0</f>
        <v>0</v>
      </c>
      <c r="H15" s="1">
        <f>Tabelle14235[[#This Row],[x2]]*$B$1</f>
        <v>0</v>
      </c>
      <c r="I15" s="1">
        <f>Tabelle14235[[#This Row],[y2]]*$B$1</f>
        <v>0</v>
      </c>
      <c r="J15" t="str" cm="1">
        <f t="array" ref="J15">toJson(Tabelle14235[[#This Row],[Punkte]],Tabelle14235[[#This Row],[x skaliert]],Tabelle14235[[#This Row],[y skaliert]],Tabelle14235[[#This Row],[Hide?]],Tabelle14235[[#This Row],[idloc]])</f>
        <v>{ "id" :"" ,"x":0,"y":0, "idloc":"" },</v>
      </c>
    </row>
    <row r="16" spans="1:10" x14ac:dyDescent="0.25">
      <c r="B16" s="1"/>
      <c r="C16" s="1"/>
      <c r="D16" s="1"/>
      <c r="E16" s="1"/>
      <c r="F16" s="1">
        <f>Tabelle14235[[#This Row],[x]]-0</f>
        <v>0</v>
      </c>
      <c r="G16" s="1">
        <f>Tabelle14235[[#This Row],[y]]+0</f>
        <v>0</v>
      </c>
      <c r="H16" s="1">
        <f>Tabelle14235[[#This Row],[x2]]*$B$1</f>
        <v>0</v>
      </c>
      <c r="I16" s="1">
        <f>Tabelle14235[[#This Row],[y2]]*$B$1</f>
        <v>0</v>
      </c>
      <c r="J16" t="str" cm="1">
        <f t="array" ref="J16">toJson(Tabelle14235[[#This Row],[Punkte]],Tabelle14235[[#This Row],[x skaliert]],Tabelle14235[[#This Row],[y skaliert]],Tabelle14235[[#This Row],[Hide?]],Tabelle14235[[#This Row],[idloc]])</f>
        <v>{ "id" :"" ,"x":0,"y":0, "idloc":"" },</v>
      </c>
    </row>
    <row r="17" spans="2:10" x14ac:dyDescent="0.25">
      <c r="B17" s="1"/>
      <c r="C17" s="1"/>
      <c r="D17" s="1"/>
      <c r="E17" s="1"/>
      <c r="F17" s="1">
        <f>Tabelle14235[[#This Row],[x]]-0</f>
        <v>0</v>
      </c>
      <c r="G17" s="1">
        <f>Tabelle14235[[#This Row],[y]]+0</f>
        <v>0</v>
      </c>
      <c r="H17" s="1">
        <f>Tabelle14235[[#This Row],[x2]]*$B$1</f>
        <v>0</v>
      </c>
      <c r="I17" s="1">
        <f>Tabelle14235[[#This Row],[y2]]*$B$1</f>
        <v>0</v>
      </c>
      <c r="J17" t="str" cm="1">
        <f t="array" ref="J17">toJson(Tabelle14235[[#This Row],[Punkte]],Tabelle14235[[#This Row],[x skaliert]],Tabelle14235[[#This Row],[y skaliert]],Tabelle14235[[#This Row],[Hide?]],Tabelle14235[[#This Row],[idloc]])</f>
        <v>{ "id" :"" ,"x":0,"y":0, "idloc":"" },</v>
      </c>
    </row>
    <row r="18" spans="2:10" x14ac:dyDescent="0.25">
      <c r="B18" s="1"/>
      <c r="C18" s="1"/>
      <c r="D18" s="1"/>
      <c r="E18" s="1"/>
      <c r="F18" s="1">
        <f>Tabelle14235[[#This Row],[x]]-0</f>
        <v>0</v>
      </c>
      <c r="G18" s="1">
        <f>Tabelle14235[[#This Row],[y]]+0</f>
        <v>0</v>
      </c>
      <c r="H18" s="1">
        <f>Tabelle14235[[#This Row],[x2]]*$B$1</f>
        <v>0</v>
      </c>
      <c r="I18" s="1">
        <f>Tabelle14235[[#This Row],[y2]]*$B$1</f>
        <v>0</v>
      </c>
      <c r="J18" t="str" cm="1">
        <f t="array" ref="J18">toJson(Tabelle14235[[#This Row],[Punkte]],Tabelle14235[[#This Row],[x skaliert]],Tabelle14235[[#This Row],[y skaliert]],Tabelle14235[[#This Row],[Hide?]],Tabelle14235[[#This Row],[idloc]])</f>
        <v>{ "id" :"" ,"x":0,"y":0, "idloc":"" },</v>
      </c>
    </row>
    <row r="19" spans="2:10" x14ac:dyDescent="0.25">
      <c r="F19" s="1">
        <f>Tabelle14235[[#This Row],[x]]-0</f>
        <v>0</v>
      </c>
      <c r="G19" s="1">
        <f>Tabelle14235[[#This Row],[y]]+0</f>
        <v>0</v>
      </c>
      <c r="H19" s="1">
        <f>Tabelle14235[[#This Row],[x2]]*$B$1</f>
        <v>0</v>
      </c>
      <c r="I19" s="1">
        <f>Tabelle14235[[#This Row],[y2]]*$B$1</f>
        <v>0</v>
      </c>
      <c r="J19" t="str" cm="1">
        <f t="array" ref="J19">toJson(Tabelle14235[[#This Row],[Punkte]],Tabelle14235[[#This Row],[x skaliert]],Tabelle14235[[#This Row],[y skaliert]],Tabelle14235[[#This Row],[Hide?]],Tabelle14235[[#This Row],[idloc]])</f>
        <v>{ "id" :"" ,"x":0,"y":0, "idloc":"" },</v>
      </c>
    </row>
    <row r="20" spans="2:10" x14ac:dyDescent="0.25">
      <c r="F20" s="1">
        <f>Tabelle14235[[#This Row],[x]]-0</f>
        <v>0</v>
      </c>
      <c r="G20" s="1">
        <f>Tabelle14235[[#This Row],[y]]+0</f>
        <v>0</v>
      </c>
      <c r="H20" s="1">
        <f>Tabelle14235[[#This Row],[x2]]*$B$1</f>
        <v>0</v>
      </c>
      <c r="I20" s="1">
        <f>Tabelle14235[[#This Row],[y2]]*$B$1</f>
        <v>0</v>
      </c>
      <c r="J20" t="str" cm="1">
        <f t="array" ref="J20">toJson(Tabelle14235[[#This Row],[Punkte]],Tabelle14235[[#This Row],[x skaliert]],Tabelle14235[[#This Row],[y skaliert]],Tabelle14235[[#This Row],[Hide?]],Tabelle14235[[#This Row],[idloc]])</f>
        <v>{ "id" :"" ,"x":0,"y":0, "idloc":"" },</v>
      </c>
    </row>
    <row r="21" spans="2:10" x14ac:dyDescent="0.25">
      <c r="F21" s="1">
        <f>Tabelle14235[[#This Row],[x]]-0</f>
        <v>0</v>
      </c>
      <c r="G21" s="1">
        <f>Tabelle14235[[#This Row],[y]]+0</f>
        <v>0</v>
      </c>
      <c r="H21" s="1">
        <f>Tabelle14235[[#This Row],[x2]]*$B$1</f>
        <v>0</v>
      </c>
      <c r="I21" s="1">
        <f>Tabelle14235[[#This Row],[y2]]*$B$1</f>
        <v>0</v>
      </c>
      <c r="J21" t="str" cm="1">
        <f t="array" ref="J21">toJson(Tabelle14235[[#This Row],[Punkte]],Tabelle14235[[#This Row],[x skaliert]],Tabelle14235[[#This Row],[y skaliert]],Tabelle14235[[#This Row],[Hide?]],Tabelle14235[[#This Row],[idloc]])</f>
        <v>{ "id" :"" ,"x":0,"y":0, "idloc":"" },</v>
      </c>
    </row>
    <row r="22" spans="2:10" x14ac:dyDescent="0.25">
      <c r="F22" s="1">
        <f>Tabelle14235[[#This Row],[x]]-0</f>
        <v>0</v>
      </c>
      <c r="G22" s="1">
        <f>Tabelle14235[[#This Row],[y]]+0</f>
        <v>0</v>
      </c>
      <c r="H22" s="1">
        <f>Tabelle14235[[#This Row],[x2]]*$B$1</f>
        <v>0</v>
      </c>
      <c r="I22" s="1">
        <f>Tabelle14235[[#This Row],[y2]]*$B$1</f>
        <v>0</v>
      </c>
      <c r="J22" t="str" cm="1">
        <f t="array" ref="J22">toJson(Tabelle14235[[#This Row],[Punkte]],Tabelle14235[[#This Row],[x skaliert]],Tabelle14235[[#This Row],[y skaliert]],Tabelle14235[[#This Row],[Hide?]],Tabelle14235[[#This Row],[idloc]])</f>
        <v>{ "id" :"" ,"x":0,"y":0, "idloc":"" },</v>
      </c>
    </row>
    <row r="23" spans="2:10" x14ac:dyDescent="0.25">
      <c r="F23" s="1">
        <f>Tabelle14235[[#This Row],[x]]-0</f>
        <v>0</v>
      </c>
      <c r="G23" s="1">
        <f>Tabelle14235[[#This Row],[y]]+0</f>
        <v>0</v>
      </c>
      <c r="H23" s="1">
        <f>Tabelle14235[[#This Row],[x2]]*$B$1</f>
        <v>0</v>
      </c>
      <c r="I23" s="1">
        <f>Tabelle14235[[#This Row],[y2]]*$B$1</f>
        <v>0</v>
      </c>
      <c r="J23" t="str" cm="1">
        <f t="array" ref="J23">toJson(Tabelle14235[[#This Row],[Punkte]],Tabelle14235[[#This Row],[x skaliert]],Tabelle14235[[#This Row],[y skaliert]],Tabelle14235[[#This Row],[Hide?]],Tabelle14235[[#This Row],[idloc]])</f>
        <v>{ "id" :"" ,"x":0,"y":0, "idloc":"" },</v>
      </c>
    </row>
    <row r="24" spans="2:10" x14ac:dyDescent="0.25">
      <c r="F24" s="1">
        <f>Tabelle14235[[#This Row],[x]]-0</f>
        <v>0</v>
      </c>
      <c r="G24" s="1">
        <f>Tabelle14235[[#This Row],[y]]+0</f>
        <v>0</v>
      </c>
      <c r="H24" s="1">
        <f>Tabelle14235[[#This Row],[x2]]*$B$1</f>
        <v>0</v>
      </c>
      <c r="I24" s="1">
        <f>Tabelle14235[[#This Row],[y2]]*$B$1</f>
        <v>0</v>
      </c>
      <c r="J24" t="str" cm="1">
        <f t="array" ref="J24">toJson(Tabelle14235[[#This Row],[Punkte]],Tabelle14235[[#This Row],[x skaliert]],Tabelle14235[[#This Row],[y skaliert]],Tabelle14235[[#This Row],[Hide?]],Tabelle14235[[#This Row],[idloc]])</f>
        <v>{ "id" :"" ,"x":0,"y":0, "idloc":"" },</v>
      </c>
    </row>
    <row r="25" spans="2:10" x14ac:dyDescent="0.25">
      <c r="F25" s="1">
        <f>Tabelle14235[[#This Row],[x]]-0</f>
        <v>0</v>
      </c>
      <c r="G25" s="1">
        <f>Tabelle14235[[#This Row],[y]]+0</f>
        <v>0</v>
      </c>
      <c r="H25" s="1">
        <f>Tabelle14235[[#This Row],[x2]]*$B$1</f>
        <v>0</v>
      </c>
      <c r="I25" s="1">
        <f>Tabelle14235[[#This Row],[y2]]*$B$1</f>
        <v>0</v>
      </c>
      <c r="J25" t="str" cm="1">
        <f t="array" ref="J25">toJson(Tabelle14235[[#This Row],[Punkte]],Tabelle14235[[#This Row],[x skaliert]],Tabelle14235[[#This Row],[y skaliert]],Tabelle14235[[#This Row],[Hide?]],Tabelle14235[[#This Row],[idloc]])</f>
        <v>{ "id" :"" ,"x":0,"y":0, "idloc":"" },</v>
      </c>
    </row>
    <row r="26" spans="2:10" x14ac:dyDescent="0.25">
      <c r="F26" s="1">
        <f>Tabelle14235[[#This Row],[x]]-0</f>
        <v>0</v>
      </c>
      <c r="G26" s="1">
        <f>Tabelle14235[[#This Row],[y]]+0</f>
        <v>0</v>
      </c>
      <c r="H26" s="1">
        <f>Tabelle14235[[#This Row],[x2]]*$B$1</f>
        <v>0</v>
      </c>
      <c r="I26" s="1">
        <f>Tabelle14235[[#This Row],[y2]]*$B$1</f>
        <v>0</v>
      </c>
      <c r="J26" t="str" cm="1">
        <f t="array" ref="J26">toJson(Tabelle14235[[#This Row],[Punkte]],Tabelle14235[[#This Row],[x skaliert]],Tabelle14235[[#This Row],[y skaliert]],Tabelle14235[[#This Row],[Hide?]],Tabelle14235[[#This Row],[idloc]])</f>
        <v>{ "id" :"" ,"x":0,"y":0, "idloc":"" },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422B6-0475-420F-BB18-42D653B23FE1}">
  <sheetPr codeName="Tabelle8"/>
  <dimension ref="A1:J24"/>
  <sheetViews>
    <sheetView workbookViewId="0">
      <selection activeCell="J3" sqref="J3:J13"/>
    </sheetView>
  </sheetViews>
  <sheetFormatPr baseColWidth="10" defaultColWidth="9.140625" defaultRowHeight="15" x14ac:dyDescent="0.25"/>
  <cols>
    <col min="1" max="1" width="11.7109375" customWidth="1"/>
    <col min="2" max="2" width="11.85546875" customWidth="1"/>
    <col min="3" max="5" width="13" customWidth="1"/>
    <col min="8" max="8" width="11.85546875" customWidth="1"/>
    <col min="9" max="9" width="12" customWidth="1"/>
    <col min="10" max="10" width="62" customWidth="1"/>
  </cols>
  <sheetData>
    <row r="1" spans="1:10" x14ac:dyDescent="0.25">
      <c r="A1" t="s">
        <v>11</v>
      </c>
      <c r="B1" s="1">
        <v>1.5</v>
      </c>
      <c r="D1" t="s">
        <v>21</v>
      </c>
    </row>
    <row r="2" spans="1:10" x14ac:dyDescent="0.25">
      <c r="A2" t="s">
        <v>0</v>
      </c>
      <c r="B2" t="s">
        <v>1</v>
      </c>
      <c r="C2" t="s">
        <v>2</v>
      </c>
      <c r="D2" t="s">
        <v>17</v>
      </c>
      <c r="E2" t="s">
        <v>22</v>
      </c>
      <c r="F2" t="s">
        <v>14</v>
      </c>
      <c r="G2" t="s">
        <v>15</v>
      </c>
      <c r="H2" t="s">
        <v>12</v>
      </c>
      <c r="I2" t="s">
        <v>13</v>
      </c>
      <c r="J2" t="s">
        <v>9</v>
      </c>
    </row>
    <row r="3" spans="1:10" x14ac:dyDescent="0.25">
      <c r="A3" t="s">
        <v>3</v>
      </c>
      <c r="B3">
        <v>0</v>
      </c>
      <c r="C3">
        <v>0</v>
      </c>
      <c r="D3" s="3"/>
      <c r="E3" s="3" t="s">
        <v>23</v>
      </c>
      <c r="F3" s="1">
        <f>Tabelle142357[[#This Row],[x]]-0</f>
        <v>0</v>
      </c>
      <c r="G3" s="1">
        <f>Tabelle142357[[#This Row],[y]]+0</f>
        <v>0</v>
      </c>
      <c r="H3" s="2">
        <f>Tabelle142357[[#This Row],[x2]]*$B$1</f>
        <v>0</v>
      </c>
      <c r="I3" s="2">
        <f>Tabelle142357[[#This Row],[y2]]*$B$1</f>
        <v>0</v>
      </c>
      <c r="J3" t="str" cm="1">
        <f t="array" ref="J3">toJson(Tabelle142357[[#This Row],[Punkte]],Tabelle142357[[#This Row],[x skaliert]],Tabelle142357[[#This Row],[y skaliert]],Tabelle142357[[#This Row],[Hide?]],Tabelle142357[[#This Row],[idloc]])</f>
        <v>{ "id" :"A0" ,"x":0,"y":0,"base":true, "optic":"FG" , "idloc":"w" },</v>
      </c>
    </row>
    <row r="4" spans="1:10" x14ac:dyDescent="0.25">
      <c r="A4" t="s">
        <v>10</v>
      </c>
      <c r="B4">
        <v>19.285679999999999</v>
      </c>
      <c r="C4">
        <v>-5.2974199999999998</v>
      </c>
      <c r="D4" s="3"/>
      <c r="E4" s="3" t="s">
        <v>23</v>
      </c>
      <c r="F4" s="1">
        <f>Tabelle142357[[#This Row],[x]]-0</f>
        <v>19.285679999999999</v>
      </c>
      <c r="G4" s="1">
        <f>Tabelle142357[[#This Row],[y]]+0</f>
        <v>-5.2974199999999998</v>
      </c>
      <c r="H4" s="2">
        <f>Tabelle142357[[#This Row],[x2]]*$B$1</f>
        <v>28.928519999999999</v>
      </c>
      <c r="I4" s="2">
        <f>Tabelle142357[[#This Row],[y2]]*$B$1</f>
        <v>-7.9461300000000001</v>
      </c>
      <c r="J4" t="str" cm="1">
        <f t="array" ref="J4">toJson(Tabelle142357[[#This Row],[Punkte]],Tabelle142357[[#This Row],[x skaliert]],Tabelle142357[[#This Row],[y skaliert]],Tabelle142357[[#This Row],[Hide?]],Tabelle142357[[#This Row],[idloc]])</f>
        <v>{ "id" :"A" ,"x":28.92852,"y":-7.94613, "idloc":"w" },</v>
      </c>
    </row>
    <row r="5" spans="1:10" x14ac:dyDescent="0.25">
      <c r="A5" t="s">
        <v>4</v>
      </c>
      <c r="B5">
        <v>125.6</v>
      </c>
      <c r="C5">
        <v>-34.5</v>
      </c>
      <c r="D5" s="3"/>
      <c r="E5" s="3" t="s">
        <v>24</v>
      </c>
      <c r="F5" s="1">
        <f>Tabelle142357[[#This Row],[x]]-0</f>
        <v>125.6</v>
      </c>
      <c r="G5" s="1">
        <f>Tabelle142357[[#This Row],[y]]+0</f>
        <v>-34.5</v>
      </c>
      <c r="H5" s="2">
        <f>Tabelle142357[[#This Row],[x2]]*$B$1</f>
        <v>188.39999999999998</v>
      </c>
      <c r="I5" s="2">
        <f>Tabelle142357[[#This Row],[y2]]*$B$1</f>
        <v>-51.75</v>
      </c>
      <c r="J5" s="4" t="str" cm="1">
        <f t="array" ref="J5">toJson(Tabelle142357[[#This Row],[Punkte]],Tabelle142357[[#This Row],[x skaliert]],Tabelle142357[[#This Row],[y skaliert]],Tabelle142357[[#This Row],[Hide?]],Tabelle142357[[#This Row],[idloc]])</f>
        <v>{ "id" :"B0" ,"x":188.4,"y":-51.75,"base":true, "optic":"FG" , "idloc":"e" },</v>
      </c>
    </row>
    <row r="6" spans="1:10" x14ac:dyDescent="0.25">
      <c r="A6" t="s">
        <v>8</v>
      </c>
      <c r="B6">
        <v>118.12291999999999</v>
      </c>
      <c r="C6">
        <v>36.147019999999998</v>
      </c>
      <c r="D6" s="3"/>
      <c r="E6" s="3" t="s">
        <v>24</v>
      </c>
      <c r="F6" s="1">
        <f>Tabelle142357[[#This Row],[x]]-0</f>
        <v>118.12291999999999</v>
      </c>
      <c r="G6" s="1">
        <f>Tabelle142357[[#This Row],[y]]+0</f>
        <v>36.147019999999998</v>
      </c>
      <c r="H6" s="2">
        <f>Tabelle142357[[#This Row],[x2]]*$B$1</f>
        <v>177.18437999999998</v>
      </c>
      <c r="I6" s="2">
        <f>Tabelle142357[[#This Row],[y2]]*$B$1</f>
        <v>54.220529999999997</v>
      </c>
      <c r="J6" t="str" cm="1">
        <f t="array" ref="J6">toJson(Tabelle142357[[#This Row],[Punkte]],Tabelle142357[[#This Row],[x skaliert]],Tabelle142357[[#This Row],[y skaliert]],Tabelle142357[[#This Row],[Hide?]],Tabelle142357[[#This Row],[idloc]])</f>
        <v>{ "id" :"B" ,"x":177.18438,"y":54.22053, "idloc":"e" },</v>
      </c>
    </row>
    <row r="7" spans="1:10" x14ac:dyDescent="0.25">
      <c r="A7" t="s">
        <v>5</v>
      </c>
      <c r="B7">
        <v>22.074000000000002</v>
      </c>
      <c r="C7">
        <v>93.664349999999999</v>
      </c>
      <c r="D7" s="3"/>
      <c r="E7" s="3" t="s">
        <v>24</v>
      </c>
      <c r="F7" s="1">
        <f>Tabelle142357[[#This Row],[x]]-0</f>
        <v>22.074000000000002</v>
      </c>
      <c r="G7" s="1">
        <f>Tabelle142357[[#This Row],[y]]+0</f>
        <v>93.664349999999999</v>
      </c>
      <c r="H7" s="2">
        <f>Tabelle142357[[#This Row],[x2]]*$B$1</f>
        <v>33.111000000000004</v>
      </c>
      <c r="I7" s="2">
        <f>Tabelle142357[[#This Row],[y2]]*$B$1</f>
        <v>140.49652499999999</v>
      </c>
      <c r="J7" t="str" cm="1">
        <f t="array" ref="J7">toJson(Tabelle142357[[#This Row],[Punkte]],Tabelle142357[[#This Row],[x skaliert]],Tabelle142357[[#This Row],[y skaliert]],Tabelle142357[[#This Row],[Hide?]],Tabelle142357[[#This Row],[idloc]])</f>
        <v>{ "id" :"C" ,"x":33.111,"y":140.496525, "idloc":"e" },</v>
      </c>
    </row>
    <row r="8" spans="1:10" x14ac:dyDescent="0.25">
      <c r="A8" t="s">
        <v>6</v>
      </c>
      <c r="B8">
        <v>64.505499999999998</v>
      </c>
      <c r="C8">
        <v>44.593559999999997</v>
      </c>
      <c r="D8" s="3"/>
      <c r="E8" s="3" t="s">
        <v>24</v>
      </c>
      <c r="F8" s="1">
        <f>Tabelle142357[[#This Row],[x]]-0</f>
        <v>64.505499999999998</v>
      </c>
      <c r="G8" s="1">
        <f>Tabelle142357[[#This Row],[y]]+0</f>
        <v>44.593559999999997</v>
      </c>
      <c r="H8" s="2">
        <f>Tabelle142357[[#This Row],[x2]]*$B$1</f>
        <v>96.758250000000004</v>
      </c>
      <c r="I8" s="2">
        <f>Tabelle142357[[#This Row],[y2]]*$B$1</f>
        <v>66.890339999999995</v>
      </c>
      <c r="J8" t="str" cm="1">
        <f t="array" ref="J8">toJson(Tabelle142357[[#This Row],[Punkte]],Tabelle142357[[#This Row],[x skaliert]],Tabelle142357[[#This Row],[y skaliert]],Tabelle142357[[#This Row],[Hide?]],Tabelle142357[[#This Row],[idloc]])</f>
        <v>{ "id" :"D" ,"x":96.75825,"y":66.89034, "idloc":"e" },</v>
      </c>
    </row>
    <row r="9" spans="1:10" x14ac:dyDescent="0.25">
      <c r="A9" t="s">
        <v>7</v>
      </c>
      <c r="B9">
        <v>105.8</v>
      </c>
      <c r="C9">
        <v>144</v>
      </c>
      <c r="D9" s="3"/>
      <c r="E9" s="3" t="s">
        <v>24</v>
      </c>
      <c r="F9" s="1">
        <f>Tabelle142357[[#This Row],[x]]-0</f>
        <v>105.8</v>
      </c>
      <c r="G9" s="1">
        <f>Tabelle142357[[#This Row],[y]]+0</f>
        <v>144</v>
      </c>
      <c r="H9" s="2">
        <f>Tabelle142357[[#This Row],[x2]]*$B$1</f>
        <v>158.69999999999999</v>
      </c>
      <c r="I9" s="2">
        <f>Tabelle142357[[#This Row],[y2]]*$B$1</f>
        <v>216</v>
      </c>
      <c r="J9" t="str" cm="1">
        <f t="array" ref="J9">toJson(Tabelle142357[[#This Row],[Punkte]],Tabelle142357[[#This Row],[x skaliert]],Tabelle142357[[#This Row],[y skaliert]],Tabelle142357[[#This Row],[Hide?]],Tabelle142357[[#This Row],[idloc]])</f>
        <v>{ "id" :"D0" ,"x":158.7,"y":216,"base":true, "optic":"FG" , "idloc":"e" },</v>
      </c>
    </row>
    <row r="10" spans="1:10" x14ac:dyDescent="0.25">
      <c r="A10" t="s">
        <v>18</v>
      </c>
      <c r="B10">
        <v>3.09856</v>
      </c>
      <c r="C10">
        <v>136.07584</v>
      </c>
      <c r="D10" s="1"/>
      <c r="E10" s="3" t="s">
        <v>23</v>
      </c>
      <c r="F10" s="1">
        <f>Tabelle142357[[#This Row],[x]]-0</f>
        <v>3.09856</v>
      </c>
      <c r="G10" s="1">
        <f>Tabelle142357[[#This Row],[y]]+0</f>
        <v>136.07584</v>
      </c>
      <c r="H10" s="1">
        <f>Tabelle142357[[#This Row],[x2]]*$B$1</f>
        <v>4.6478400000000004</v>
      </c>
      <c r="I10" s="1">
        <f>Tabelle142357[[#This Row],[y2]]*$B$1</f>
        <v>204.11376000000001</v>
      </c>
      <c r="J10" t="str" cm="1">
        <f t="array" ref="J10">toJson(Tabelle142357[[#This Row],[Punkte]],Tabelle142357[[#This Row],[x skaliert]],Tabelle142357[[#This Row],[y skaliert]],Tabelle142357[[#This Row],[Hide?]],Tabelle142357[[#This Row],[idloc]])</f>
        <v>{ "id" :"E" ,"x":4.64784,"y":204.11376, "idloc":"w" },</v>
      </c>
    </row>
    <row r="11" spans="1:10" x14ac:dyDescent="0.25">
      <c r="A11" t="s">
        <v>19</v>
      </c>
      <c r="B11">
        <v>3.09856</v>
      </c>
      <c r="C11">
        <v>276.75</v>
      </c>
      <c r="D11" s="1"/>
      <c r="E11" s="3" t="s">
        <v>24</v>
      </c>
      <c r="F11" s="1">
        <f>Tabelle142357[[#This Row],[x]]-0</f>
        <v>3.09856</v>
      </c>
      <c r="G11" s="1">
        <f>Tabelle142357[[#This Row],[y]]+0</f>
        <v>276.75</v>
      </c>
      <c r="H11" s="1">
        <f>Tabelle142357[[#This Row],[x2]]*$B$1</f>
        <v>4.6478400000000004</v>
      </c>
      <c r="I11" s="1">
        <f>Tabelle142357[[#This Row],[y2]]*$B$1</f>
        <v>415.125</v>
      </c>
      <c r="J11" t="str" cm="1">
        <f t="array" ref="J11">toJson(Tabelle142357[[#This Row],[Punkte]],Tabelle142357[[#This Row],[x skaliert]],Tabelle142357[[#This Row],[y skaliert]],Tabelle142357[[#This Row],[Hide?]],Tabelle142357[[#This Row],[idloc]])</f>
        <v>{ "id" :"F" ,"x":4.64784,"y":415.125, "idloc":"e" },</v>
      </c>
    </row>
    <row r="12" spans="1:10" x14ac:dyDescent="0.25">
      <c r="A12" s="5" t="s">
        <v>20</v>
      </c>
      <c r="B12" s="6">
        <v>3.09856</v>
      </c>
      <c r="C12" s="6">
        <v>290</v>
      </c>
      <c r="D12" s="1" t="s">
        <v>1</v>
      </c>
      <c r="E12" s="3" t="s">
        <v>24</v>
      </c>
      <c r="F12" s="1">
        <f>Tabelle142357[[#This Row],[x]]-0</f>
        <v>3.09856</v>
      </c>
      <c r="G12" s="1">
        <f>Tabelle142357[[#This Row],[y]]+0</f>
        <v>290</v>
      </c>
      <c r="H12" s="1">
        <f>Tabelle142357[[#This Row],[x2]]*$B$1</f>
        <v>4.6478400000000004</v>
      </c>
      <c r="I12" s="1">
        <f>Tabelle142357[[#This Row],[y2]]*$B$1</f>
        <v>435</v>
      </c>
      <c r="J12" t="str" cm="1">
        <f t="array" ref="J12">toJson(Tabelle142357[[#This Row],[Punkte]],Tabelle142357[[#This Row],[x skaliert]],Tabelle142357[[#This Row],[y skaliert]],Tabelle142357[[#This Row],[Hide?]],Tabelle142357[[#This Row],[idloc]])</f>
        <v>{ "id" :"F0" ,"x":4.64784,"y":435,"base":true, "optic":"FG" , "hid":"true" , "idloc":"e" },</v>
      </c>
    </row>
    <row r="13" spans="1:10" x14ac:dyDescent="0.25">
      <c r="A13" s="7" t="s">
        <v>25</v>
      </c>
      <c r="B13" s="8">
        <v>-22</v>
      </c>
      <c r="C13" s="8">
        <v>361.87</v>
      </c>
      <c r="D13" s="1"/>
      <c r="E13" s="1" t="s">
        <v>23</v>
      </c>
      <c r="F13" s="1">
        <f>Tabelle142357[[#This Row],[x]]-0</f>
        <v>-22</v>
      </c>
      <c r="G13" s="1">
        <f>Tabelle142357[[#This Row],[y]]+0</f>
        <v>361.87</v>
      </c>
      <c r="H13" s="1">
        <f>Tabelle142357[[#This Row],[x2]]*$B$1</f>
        <v>-33</v>
      </c>
      <c r="I13" s="1">
        <f>Tabelle142357[[#This Row],[y2]]*$B$1</f>
        <v>542.80500000000006</v>
      </c>
      <c r="J13" t="str" cm="1">
        <f t="array" ref="J13">toJson(Tabelle142357[[#This Row],[Punkte]],Tabelle142357[[#This Row],[x skaliert]],Tabelle142357[[#This Row],[y skaliert]],Tabelle142357[[#This Row],[Hide?]],Tabelle142357[[#This Row],[idloc]])</f>
        <v>{ "id" :"G" ,"x":-33,"y":542.805, "idloc":"w" },</v>
      </c>
    </row>
    <row r="14" spans="1:10" x14ac:dyDescent="0.25">
      <c r="B14" s="1"/>
      <c r="C14" s="1"/>
      <c r="D14" s="1"/>
      <c r="E14" s="1"/>
      <c r="F14" s="1">
        <f>Tabelle142357[[#This Row],[x]]-0</f>
        <v>0</v>
      </c>
      <c r="G14" s="1">
        <f>Tabelle142357[[#This Row],[y]]+0</f>
        <v>0</v>
      </c>
      <c r="H14" s="1">
        <f>Tabelle142357[[#This Row],[x2]]*$B$1</f>
        <v>0</v>
      </c>
      <c r="I14" s="1">
        <f>Tabelle142357[[#This Row],[y2]]*$B$1</f>
        <v>0</v>
      </c>
      <c r="J14" t="str" cm="1">
        <f t="array" ref="J14">toJson(Tabelle142357[[#This Row],[Punkte]],Tabelle142357[[#This Row],[x skaliert]],Tabelle142357[[#This Row],[y skaliert]],Tabelle142357[[#This Row],[Hide?]],Tabelle142357[[#This Row],[idloc]])</f>
        <v>{ "id" :"" ,"x":0,"y":0, "idloc":"" },</v>
      </c>
    </row>
    <row r="15" spans="1:10" x14ac:dyDescent="0.25">
      <c r="B15" s="1"/>
      <c r="C15" s="1"/>
      <c r="D15" s="1"/>
      <c r="E15" s="1"/>
      <c r="F15" s="1">
        <f>Tabelle142357[[#This Row],[x]]-0</f>
        <v>0</v>
      </c>
      <c r="G15" s="1">
        <f>Tabelle142357[[#This Row],[y]]+0</f>
        <v>0</v>
      </c>
      <c r="H15" s="1">
        <f>Tabelle142357[[#This Row],[x2]]*$B$1</f>
        <v>0</v>
      </c>
      <c r="I15" s="1">
        <f>Tabelle142357[[#This Row],[y2]]*$B$1</f>
        <v>0</v>
      </c>
      <c r="J15" t="str" cm="1">
        <f t="array" ref="J15">toJson(Tabelle142357[[#This Row],[Punkte]],Tabelle142357[[#This Row],[x skaliert]],Tabelle142357[[#This Row],[y skaliert]],Tabelle142357[[#This Row],[Hide?]],Tabelle142357[[#This Row],[idloc]])</f>
        <v>{ "id" :"" ,"x":0,"y":0, "idloc":"" },</v>
      </c>
    </row>
    <row r="16" spans="1:10" x14ac:dyDescent="0.25">
      <c r="B16" s="1"/>
      <c r="C16" s="1"/>
      <c r="D16" s="1"/>
      <c r="E16" s="1"/>
      <c r="F16" s="1">
        <f>Tabelle142357[[#This Row],[x]]-0</f>
        <v>0</v>
      </c>
      <c r="G16" s="1">
        <f>Tabelle142357[[#This Row],[y]]+0</f>
        <v>0</v>
      </c>
      <c r="H16" s="1">
        <f>Tabelle142357[[#This Row],[x2]]*$B$1</f>
        <v>0</v>
      </c>
      <c r="I16" s="1">
        <f>Tabelle142357[[#This Row],[y2]]*$B$1</f>
        <v>0</v>
      </c>
      <c r="J16" t="str" cm="1">
        <f t="array" ref="J16">toJson(Tabelle142357[[#This Row],[Punkte]],Tabelle142357[[#This Row],[x skaliert]],Tabelle142357[[#This Row],[y skaliert]],Tabelle142357[[#This Row],[Hide?]],Tabelle142357[[#This Row],[idloc]])</f>
        <v>{ "id" :"" ,"x":0,"y":0, "idloc":"" },</v>
      </c>
    </row>
    <row r="17" spans="6:10" x14ac:dyDescent="0.25">
      <c r="F17" s="1">
        <f>Tabelle142357[[#This Row],[x]]-0</f>
        <v>0</v>
      </c>
      <c r="G17" s="1">
        <f>Tabelle142357[[#This Row],[y]]+0</f>
        <v>0</v>
      </c>
      <c r="H17" s="1">
        <f>Tabelle142357[[#This Row],[x2]]*$B$1</f>
        <v>0</v>
      </c>
      <c r="I17" s="1">
        <f>Tabelle142357[[#This Row],[y2]]*$B$1</f>
        <v>0</v>
      </c>
      <c r="J17" t="str" cm="1">
        <f t="array" ref="J17">toJson(Tabelle142357[[#This Row],[Punkte]],Tabelle142357[[#This Row],[x skaliert]],Tabelle142357[[#This Row],[y skaliert]],Tabelle142357[[#This Row],[Hide?]],Tabelle142357[[#This Row],[idloc]])</f>
        <v>{ "id" :"" ,"x":0,"y":0, "idloc":"" },</v>
      </c>
    </row>
    <row r="18" spans="6:10" x14ac:dyDescent="0.25">
      <c r="F18" s="1">
        <f>Tabelle142357[[#This Row],[x]]-0</f>
        <v>0</v>
      </c>
      <c r="G18" s="1">
        <f>Tabelle142357[[#This Row],[y]]+0</f>
        <v>0</v>
      </c>
      <c r="H18" s="1">
        <f>Tabelle142357[[#This Row],[x2]]*$B$1</f>
        <v>0</v>
      </c>
      <c r="I18" s="1">
        <f>Tabelle142357[[#This Row],[y2]]*$B$1</f>
        <v>0</v>
      </c>
      <c r="J18" t="str" cm="1">
        <f t="array" ref="J18">toJson(Tabelle142357[[#This Row],[Punkte]],Tabelle142357[[#This Row],[x skaliert]],Tabelle142357[[#This Row],[y skaliert]],Tabelle142357[[#This Row],[Hide?]],Tabelle142357[[#This Row],[idloc]])</f>
        <v>{ "id" :"" ,"x":0,"y":0, "idloc":"" },</v>
      </c>
    </row>
    <row r="19" spans="6:10" x14ac:dyDescent="0.25">
      <c r="F19" s="1">
        <f>Tabelle142357[[#This Row],[x]]-0</f>
        <v>0</v>
      </c>
      <c r="G19" s="1">
        <f>Tabelle142357[[#This Row],[y]]+0</f>
        <v>0</v>
      </c>
      <c r="H19" s="1">
        <f>Tabelle142357[[#This Row],[x2]]*$B$1</f>
        <v>0</v>
      </c>
      <c r="I19" s="1">
        <f>Tabelle142357[[#This Row],[y2]]*$B$1</f>
        <v>0</v>
      </c>
      <c r="J19" t="str" cm="1">
        <f t="array" ref="J19">toJson(Tabelle142357[[#This Row],[Punkte]],Tabelle142357[[#This Row],[x skaliert]],Tabelle142357[[#This Row],[y skaliert]],Tabelle142357[[#This Row],[Hide?]],Tabelle142357[[#This Row],[idloc]])</f>
        <v>{ "id" :"" ,"x":0,"y":0, "idloc":"" },</v>
      </c>
    </row>
    <row r="20" spans="6:10" x14ac:dyDescent="0.25">
      <c r="F20" s="1">
        <f>Tabelle142357[[#This Row],[x]]-0</f>
        <v>0</v>
      </c>
      <c r="G20" s="1">
        <f>Tabelle142357[[#This Row],[y]]+0</f>
        <v>0</v>
      </c>
      <c r="H20" s="1">
        <f>Tabelle142357[[#This Row],[x2]]*$B$1</f>
        <v>0</v>
      </c>
      <c r="I20" s="1">
        <f>Tabelle142357[[#This Row],[y2]]*$B$1</f>
        <v>0</v>
      </c>
      <c r="J20" t="str" cm="1">
        <f t="array" ref="J20">toJson(Tabelle142357[[#This Row],[Punkte]],Tabelle142357[[#This Row],[x skaliert]],Tabelle142357[[#This Row],[y skaliert]],Tabelle142357[[#This Row],[Hide?]],Tabelle142357[[#This Row],[idloc]])</f>
        <v>{ "id" :"" ,"x":0,"y":0, "idloc":"" },</v>
      </c>
    </row>
    <row r="21" spans="6:10" x14ac:dyDescent="0.25">
      <c r="F21" s="1">
        <f>Tabelle142357[[#This Row],[x]]-0</f>
        <v>0</v>
      </c>
      <c r="G21" s="1">
        <f>Tabelle142357[[#This Row],[y]]+0</f>
        <v>0</v>
      </c>
      <c r="H21" s="1">
        <f>Tabelle142357[[#This Row],[x2]]*$B$1</f>
        <v>0</v>
      </c>
      <c r="I21" s="1">
        <f>Tabelle142357[[#This Row],[y2]]*$B$1</f>
        <v>0</v>
      </c>
      <c r="J21" t="str" cm="1">
        <f t="array" ref="J21">toJson(Tabelle142357[[#This Row],[Punkte]],Tabelle142357[[#This Row],[x skaliert]],Tabelle142357[[#This Row],[y skaliert]],Tabelle142357[[#This Row],[Hide?]],Tabelle142357[[#This Row],[idloc]])</f>
        <v>{ "id" :"" ,"x":0,"y":0, "idloc":"" },</v>
      </c>
    </row>
    <row r="22" spans="6:10" x14ac:dyDescent="0.25">
      <c r="F22" s="1">
        <f>Tabelle142357[[#This Row],[x]]-0</f>
        <v>0</v>
      </c>
      <c r="G22" s="1">
        <f>Tabelle142357[[#This Row],[y]]+0</f>
        <v>0</v>
      </c>
      <c r="H22" s="1">
        <f>Tabelle142357[[#This Row],[x2]]*$B$1</f>
        <v>0</v>
      </c>
      <c r="I22" s="1">
        <f>Tabelle142357[[#This Row],[y2]]*$B$1</f>
        <v>0</v>
      </c>
      <c r="J22" t="str" cm="1">
        <f t="array" ref="J22">toJson(Tabelle142357[[#This Row],[Punkte]],Tabelle142357[[#This Row],[x skaliert]],Tabelle142357[[#This Row],[y skaliert]],Tabelle142357[[#This Row],[Hide?]],Tabelle142357[[#This Row],[idloc]])</f>
        <v>{ "id" :"" ,"x":0,"y":0, "idloc":"" },</v>
      </c>
    </row>
    <row r="23" spans="6:10" x14ac:dyDescent="0.25">
      <c r="F23" s="1">
        <f>Tabelle142357[[#This Row],[x]]-0</f>
        <v>0</v>
      </c>
      <c r="G23" s="1">
        <f>Tabelle142357[[#This Row],[y]]+0</f>
        <v>0</v>
      </c>
      <c r="H23" s="1">
        <f>Tabelle142357[[#This Row],[x2]]*$B$1</f>
        <v>0</v>
      </c>
      <c r="I23" s="1">
        <f>Tabelle142357[[#This Row],[y2]]*$B$1</f>
        <v>0</v>
      </c>
      <c r="J23" t="str" cm="1">
        <f t="array" ref="J23">toJson(Tabelle142357[[#This Row],[Punkte]],Tabelle142357[[#This Row],[x skaliert]],Tabelle142357[[#This Row],[y skaliert]],Tabelle142357[[#This Row],[Hide?]],Tabelle142357[[#This Row],[idloc]])</f>
        <v>{ "id" :"" ,"x":0,"y":0, "idloc":"" },</v>
      </c>
    </row>
    <row r="24" spans="6:10" x14ac:dyDescent="0.25">
      <c r="F24" s="1">
        <f>Tabelle142357[[#This Row],[x]]-0</f>
        <v>0</v>
      </c>
      <c r="G24" s="1">
        <f>Tabelle142357[[#This Row],[y]]+0</f>
        <v>0</v>
      </c>
      <c r="H24" s="1">
        <f>Tabelle142357[[#This Row],[x2]]*$B$1</f>
        <v>0</v>
      </c>
      <c r="I24" s="1">
        <f>Tabelle142357[[#This Row],[y2]]*$B$1</f>
        <v>0</v>
      </c>
      <c r="J24" t="str" cm="1">
        <f t="array" ref="J24">toJson(Tabelle142357[[#This Row],[Punkte]],Tabelle142357[[#This Row],[x skaliert]],Tabelle142357[[#This Row],[y skaliert]],Tabelle142357[[#This Row],[Hide?]],Tabelle142357[[#This Row],[idloc]])</f>
        <v>{ "id" :"" ,"x":0,"y":0, "idloc":"" },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51A1A-4E81-4FED-A0FB-EDC6150EBBE5}">
  <sheetPr codeName="Tabelle7"/>
  <dimension ref="A1:J24"/>
  <sheetViews>
    <sheetView tabSelected="1" workbookViewId="0">
      <selection activeCell="J3" sqref="J3:J12"/>
    </sheetView>
  </sheetViews>
  <sheetFormatPr baseColWidth="10" defaultColWidth="9.140625" defaultRowHeight="15" x14ac:dyDescent="0.25"/>
  <cols>
    <col min="1" max="1" width="11.7109375" customWidth="1"/>
    <col min="2" max="2" width="11.85546875" customWidth="1"/>
    <col min="3" max="5" width="13" customWidth="1"/>
    <col min="8" max="8" width="11.85546875" customWidth="1"/>
    <col min="9" max="9" width="12" customWidth="1"/>
    <col min="10" max="10" width="62" customWidth="1"/>
  </cols>
  <sheetData>
    <row r="1" spans="1:10" x14ac:dyDescent="0.25">
      <c r="A1" t="s">
        <v>11</v>
      </c>
      <c r="B1" s="1">
        <v>30</v>
      </c>
    </row>
    <row r="2" spans="1:10" x14ac:dyDescent="0.25">
      <c r="A2" t="s">
        <v>0</v>
      </c>
      <c r="B2" t="s">
        <v>1</v>
      </c>
      <c r="C2" t="s">
        <v>2</v>
      </c>
      <c r="D2" t="s">
        <v>17</v>
      </c>
      <c r="E2" t="s">
        <v>22</v>
      </c>
      <c r="F2" t="s">
        <v>14</v>
      </c>
      <c r="G2" t="s">
        <v>15</v>
      </c>
      <c r="H2" t="s">
        <v>12</v>
      </c>
      <c r="I2" t="s">
        <v>13</v>
      </c>
      <c r="J2" t="s">
        <v>9</v>
      </c>
    </row>
    <row r="3" spans="1:10" x14ac:dyDescent="0.25">
      <c r="A3" t="s">
        <v>3</v>
      </c>
      <c r="B3">
        <v>16.600000000000001</v>
      </c>
      <c r="C3">
        <v>5</v>
      </c>
      <c r="E3" s="3" t="s">
        <v>23</v>
      </c>
      <c r="F3" s="1">
        <f>Tabelle142356[[#This Row],[x]]-0</f>
        <v>16.600000000000001</v>
      </c>
      <c r="G3" s="1">
        <f>Tabelle142356[[#This Row],[y]]+0</f>
        <v>5</v>
      </c>
      <c r="H3" s="2">
        <f>Tabelle142356[[#This Row],[x2]]*$B$1</f>
        <v>498.00000000000006</v>
      </c>
      <c r="I3" s="2">
        <f>Tabelle142356[[#This Row],[y2]]*$B$1</f>
        <v>150</v>
      </c>
      <c r="J3" t="str" cm="1">
        <f t="array" ref="J3">toJson(Tabelle142356[[#This Row],[Punkte]],Tabelle142356[[#This Row],[x skaliert]],Tabelle142356[[#This Row],[y skaliert]],Tabelle142356[[#This Row],[Hide?]],Tabelle142356[[#This Row],[idloc]])</f>
        <v>{ "id" :"A0" ,"x":498,"y":150,"base":true, "optic":"FG" , "idloc":"w" },</v>
      </c>
    </row>
    <row r="4" spans="1:10" x14ac:dyDescent="0.25">
      <c r="A4" t="s">
        <v>10</v>
      </c>
      <c r="B4">
        <v>18.399999999999999</v>
      </c>
      <c r="C4">
        <v>4.97</v>
      </c>
      <c r="E4" s="3" t="s">
        <v>23</v>
      </c>
      <c r="F4" s="1">
        <f>Tabelle142356[[#This Row],[x]]-0</f>
        <v>18.399999999999999</v>
      </c>
      <c r="G4" s="1">
        <f>Tabelle142356[[#This Row],[y]]+0</f>
        <v>4.97</v>
      </c>
      <c r="H4" s="2">
        <f>Tabelle142356[[#This Row],[x2]]*$B$1</f>
        <v>552</v>
      </c>
      <c r="I4" s="2">
        <f>Tabelle142356[[#This Row],[y2]]*$B$1</f>
        <v>149.1</v>
      </c>
      <c r="J4" t="str" cm="1">
        <f t="array" ref="J4">toJson(Tabelle142356[[#This Row],[Punkte]],Tabelle142356[[#This Row],[x skaliert]],Tabelle142356[[#This Row],[y skaliert]],Tabelle142356[[#This Row],[Hide?]],Tabelle142356[[#This Row],[idloc]])</f>
        <v>{ "id" :"A" ,"x":552,"y":149.1, "idloc":"w" },</v>
      </c>
    </row>
    <row r="5" spans="1:10" x14ac:dyDescent="0.25">
      <c r="A5" t="s">
        <v>8</v>
      </c>
      <c r="B5">
        <v>15.96</v>
      </c>
      <c r="C5">
        <v>9.7200000000000006</v>
      </c>
      <c r="E5" s="3" t="s">
        <v>24</v>
      </c>
      <c r="F5" s="1">
        <f>Tabelle142356[[#This Row],[x]]-0</f>
        <v>15.96</v>
      </c>
      <c r="G5" s="1">
        <f>Tabelle142356[[#This Row],[y]]+0</f>
        <v>9.7200000000000006</v>
      </c>
      <c r="H5" s="2">
        <f>Tabelle142356[[#This Row],[x2]]*$B$1</f>
        <v>478.8</v>
      </c>
      <c r="I5" s="2">
        <f>Tabelle142356[[#This Row],[y2]]*$B$1</f>
        <v>291.60000000000002</v>
      </c>
      <c r="J5" s="4" t="str" cm="1">
        <f t="array" ref="J5">toJson(Tabelle142356[[#This Row],[Punkte]],Tabelle142356[[#This Row],[x skaliert]],Tabelle142356[[#This Row],[y skaliert]],Tabelle142356[[#This Row],[Hide?]],Tabelle142356[[#This Row],[idloc]])</f>
        <v>{ "id" :"B" ,"x":478.8,"y":291.6, "idloc":"e" },</v>
      </c>
    </row>
    <row r="6" spans="1:10" x14ac:dyDescent="0.25">
      <c r="A6" t="s">
        <v>4</v>
      </c>
      <c r="B6">
        <v>23.14</v>
      </c>
      <c r="C6">
        <v>11.79</v>
      </c>
      <c r="E6" s="3" t="s">
        <v>24</v>
      </c>
      <c r="F6" s="1">
        <f>Tabelle142356[[#This Row],[x]]-0</f>
        <v>23.14</v>
      </c>
      <c r="G6" s="1">
        <f>Tabelle142356[[#This Row],[y]]+0</f>
        <v>11.79</v>
      </c>
      <c r="H6" s="2">
        <f>Tabelle142356[[#This Row],[x2]]*$B$1</f>
        <v>694.2</v>
      </c>
      <c r="I6" s="2">
        <f>Tabelle142356[[#This Row],[y2]]*$B$1</f>
        <v>353.7</v>
      </c>
      <c r="J6" t="str" cm="1">
        <f t="array" ref="J6">toJson(Tabelle142356[[#This Row],[Punkte]],Tabelle142356[[#This Row],[x skaliert]],Tabelle142356[[#This Row],[y skaliert]],Tabelle142356[[#This Row],[Hide?]],Tabelle142356[[#This Row],[idloc]])</f>
        <v>{ "id" :"B0" ,"x":694.2,"y":353.7,"base":true, "optic":"FG" , "idloc":"e" },</v>
      </c>
    </row>
    <row r="7" spans="1:10" x14ac:dyDescent="0.25">
      <c r="A7" t="s">
        <v>5</v>
      </c>
      <c r="B7">
        <v>13.12</v>
      </c>
      <c r="C7">
        <v>8.9</v>
      </c>
      <c r="E7" s="3" t="s">
        <v>24</v>
      </c>
      <c r="F7" s="1">
        <f>Tabelle142356[[#This Row],[x]]-0</f>
        <v>13.12</v>
      </c>
      <c r="G7" s="1">
        <f>Tabelle142356[[#This Row],[y]]+0</f>
        <v>8.9</v>
      </c>
      <c r="H7" s="2">
        <f>Tabelle142356[[#This Row],[x2]]*$B$1</f>
        <v>393.59999999999997</v>
      </c>
      <c r="I7" s="2">
        <f>Tabelle142356[[#This Row],[y2]]*$B$1</f>
        <v>267</v>
      </c>
      <c r="J7" s="4" t="str" cm="1">
        <f t="array" ref="J7">toJson(Tabelle142356[[#This Row],[Punkte]],Tabelle142356[[#This Row],[x skaliert]],Tabelle142356[[#This Row],[y skaliert]],Tabelle142356[[#This Row],[Hide?]],Tabelle142356[[#This Row],[idloc]])</f>
        <v>{ "id" :"C" ,"x":393.6,"y":267, "idloc":"e" },</v>
      </c>
    </row>
    <row r="8" spans="1:10" x14ac:dyDescent="0.25">
      <c r="A8" t="s">
        <v>6</v>
      </c>
      <c r="B8">
        <v>12.27</v>
      </c>
      <c r="C8">
        <v>11</v>
      </c>
      <c r="E8" s="3" t="s">
        <v>24</v>
      </c>
      <c r="F8" s="1">
        <f>Tabelle142356[[#This Row],[x]]-0</f>
        <v>12.27</v>
      </c>
      <c r="G8" s="1">
        <f>Tabelle142356[[#This Row],[y]]+0</f>
        <v>11</v>
      </c>
      <c r="H8" s="2">
        <f>Tabelle142356[[#This Row],[x2]]*$B$1</f>
        <v>368.09999999999997</v>
      </c>
      <c r="I8" s="2">
        <f>Tabelle142356[[#This Row],[y2]]*$B$1</f>
        <v>330</v>
      </c>
      <c r="J8" t="str" cm="1">
        <f t="array" ref="J8">toJson(Tabelle142356[[#This Row],[Punkte]],Tabelle142356[[#This Row],[x skaliert]],Tabelle142356[[#This Row],[y skaliert]],Tabelle142356[[#This Row],[Hide?]],Tabelle142356[[#This Row],[idloc]])</f>
        <v>{ "id" :"D" ,"x":368.1,"y":330, "idloc":"e" },</v>
      </c>
    </row>
    <row r="9" spans="1:10" x14ac:dyDescent="0.25">
      <c r="A9" t="s">
        <v>7</v>
      </c>
      <c r="B9">
        <v>10.29</v>
      </c>
      <c r="C9">
        <v>8.91</v>
      </c>
      <c r="E9" s="3" t="s">
        <v>24</v>
      </c>
      <c r="F9" s="1">
        <f>Tabelle142356[[#This Row],[x]]-0</f>
        <v>10.29</v>
      </c>
      <c r="G9" s="1">
        <f>Tabelle142356[[#This Row],[y]]+0</f>
        <v>8.91</v>
      </c>
      <c r="H9" s="2">
        <f>Tabelle142356[[#This Row],[x2]]*$B$1</f>
        <v>308.7</v>
      </c>
      <c r="I9" s="2">
        <f>Tabelle142356[[#This Row],[y2]]*$B$1</f>
        <v>267.3</v>
      </c>
      <c r="J9" t="str" cm="1">
        <f t="array" ref="J9">toJson(Tabelle142356[[#This Row],[Punkte]],Tabelle142356[[#This Row],[x skaliert]],Tabelle142356[[#This Row],[y skaliert]],Tabelle142356[[#This Row],[Hide?]],Tabelle142356[[#This Row],[idloc]])</f>
        <v>{ "id" :"D0" ,"x":308.7,"y":267.3,"base":true, "optic":"FG" , "idloc":"e" },</v>
      </c>
    </row>
    <row r="10" spans="1:10" x14ac:dyDescent="0.25">
      <c r="A10" t="s">
        <v>18</v>
      </c>
      <c r="B10">
        <v>11.34</v>
      </c>
      <c r="C10">
        <v>13.28</v>
      </c>
      <c r="E10" s="3" t="s">
        <v>24</v>
      </c>
      <c r="F10" s="1">
        <f>Tabelle142356[[#This Row],[x]]-0</f>
        <v>11.34</v>
      </c>
      <c r="G10" s="1">
        <f>Tabelle142356[[#This Row],[y]]+0</f>
        <v>13.28</v>
      </c>
      <c r="H10" s="2">
        <f>Tabelle142356[[#This Row],[x2]]*$B$1</f>
        <v>340.2</v>
      </c>
      <c r="I10" s="2">
        <f>Tabelle142356[[#This Row],[y2]]*$B$1</f>
        <v>398.4</v>
      </c>
      <c r="J10" t="str" cm="1">
        <f t="array" ref="J10">toJson(Tabelle142356[[#This Row],[Punkte]],Tabelle142356[[#This Row],[x skaliert]],Tabelle142356[[#This Row],[y skaliert]],Tabelle142356[[#This Row],[Hide?]],Tabelle142356[[#This Row],[idloc]])</f>
        <v>{ "id" :"E" ,"x":340.2,"y":398.4, "idloc":"e" },</v>
      </c>
    </row>
    <row r="11" spans="1:10" x14ac:dyDescent="0.25">
      <c r="A11" t="s">
        <v>19</v>
      </c>
      <c r="B11">
        <v>5.01</v>
      </c>
      <c r="C11">
        <v>11.65</v>
      </c>
      <c r="E11" s="3" t="s">
        <v>26</v>
      </c>
      <c r="F11" s="1">
        <f>Tabelle142356[[#This Row],[x]]-0</f>
        <v>5.01</v>
      </c>
      <c r="G11" s="1">
        <f>Tabelle142356[[#This Row],[y]]+0</f>
        <v>11.65</v>
      </c>
      <c r="H11" s="1">
        <f>Tabelle142356[[#This Row],[x2]]*$B$1</f>
        <v>150.29999999999998</v>
      </c>
      <c r="I11" s="1">
        <f>Tabelle142356[[#This Row],[y2]]*$B$1</f>
        <v>349.5</v>
      </c>
      <c r="J11" t="str" cm="1">
        <f t="array" ref="J11">toJson(Tabelle142356[[#This Row],[Punkte]],Tabelle142356[[#This Row],[x skaliert]],Tabelle142356[[#This Row],[y skaliert]],Tabelle142356[[#This Row],[Hide?]],Tabelle142356[[#This Row],[idloc]])</f>
        <v>{ "id" :"F" ,"x":150.3,"y":349.5, "idloc":"n" },</v>
      </c>
    </row>
    <row r="12" spans="1:10" x14ac:dyDescent="0.25">
      <c r="A12" t="s">
        <v>20</v>
      </c>
      <c r="B12">
        <v>0.6</v>
      </c>
      <c r="C12">
        <v>11.65</v>
      </c>
      <c r="D12" t="s">
        <v>1</v>
      </c>
      <c r="E12" s="3" t="s">
        <v>24</v>
      </c>
      <c r="F12" s="1">
        <f>Tabelle142356[[#This Row],[x]]-0</f>
        <v>0.6</v>
      </c>
      <c r="G12" s="1">
        <f>Tabelle142356[[#This Row],[y]]+0</f>
        <v>11.65</v>
      </c>
      <c r="H12" s="1">
        <f>Tabelle142356[[#This Row],[x2]]*$B$1</f>
        <v>18</v>
      </c>
      <c r="I12" s="1">
        <f>Tabelle142356[[#This Row],[y2]]*$B$1</f>
        <v>349.5</v>
      </c>
      <c r="J12" t="str" cm="1">
        <f t="array" ref="J12">toJson(Tabelle142356[[#This Row],[Punkte]],Tabelle142356[[#This Row],[x skaliert]],Tabelle142356[[#This Row],[y skaliert]],Tabelle142356[[#This Row],[Hide?]],Tabelle142356[[#This Row],[idloc]])</f>
        <v>{ "id" :"F0" ,"x":18,"y":349.5,"base":true, "optic":"FG" , "hid":"true" , "idloc":"e" },</v>
      </c>
    </row>
    <row r="13" spans="1:10" x14ac:dyDescent="0.25">
      <c r="B13" s="1"/>
      <c r="C13" s="1"/>
      <c r="D13" s="1"/>
      <c r="E13" s="1"/>
      <c r="F13" s="1">
        <f>Tabelle142356[[#This Row],[x]]-0</f>
        <v>0</v>
      </c>
      <c r="G13" s="1">
        <f>Tabelle142356[[#This Row],[y]]+0</f>
        <v>0</v>
      </c>
      <c r="H13" s="1">
        <f>Tabelle142356[[#This Row],[x2]]*$B$1</f>
        <v>0</v>
      </c>
      <c r="I13" s="1">
        <f>Tabelle142356[[#This Row],[y2]]*$B$1</f>
        <v>0</v>
      </c>
      <c r="J13" t="str" cm="1">
        <f t="array" ref="J13">toJson(Tabelle142356[[#This Row],[Punkte]],Tabelle142356[[#This Row],[x skaliert]],Tabelle142356[[#This Row],[y skaliert]],Tabelle142356[[#This Row],[Hide?]],Tabelle142356[[#This Row],[idloc]])</f>
        <v>{ "id" :"" ,"x":0,"y":0, "idloc":"" },</v>
      </c>
    </row>
    <row r="14" spans="1:10" x14ac:dyDescent="0.25">
      <c r="B14" s="1"/>
      <c r="C14" s="1"/>
      <c r="D14" s="1"/>
      <c r="E14" s="1"/>
      <c r="F14" s="1">
        <f>Tabelle142356[[#This Row],[x]]-0</f>
        <v>0</v>
      </c>
      <c r="G14" s="1">
        <f>Tabelle142356[[#This Row],[y]]+0</f>
        <v>0</v>
      </c>
      <c r="H14" s="1">
        <f>Tabelle142356[[#This Row],[x2]]*$B$1</f>
        <v>0</v>
      </c>
      <c r="I14" s="1">
        <f>Tabelle142356[[#This Row],[y2]]*$B$1</f>
        <v>0</v>
      </c>
      <c r="J14" t="str" cm="1">
        <f t="array" ref="J14">toJson(Tabelle142356[[#This Row],[Punkte]],Tabelle142356[[#This Row],[x skaliert]],Tabelle142356[[#This Row],[y skaliert]],Tabelle142356[[#This Row],[Hide?]],Tabelle142356[[#This Row],[idloc]])</f>
        <v>{ "id" :"" ,"x":0,"y":0, "idloc":"" },</v>
      </c>
    </row>
    <row r="15" spans="1:10" x14ac:dyDescent="0.25">
      <c r="B15" s="1"/>
      <c r="C15" s="1"/>
      <c r="D15" s="1"/>
      <c r="E15" s="1"/>
      <c r="F15" s="1">
        <f>Tabelle142356[[#This Row],[x]]-0</f>
        <v>0</v>
      </c>
      <c r="G15" s="1">
        <f>Tabelle142356[[#This Row],[y]]+0</f>
        <v>0</v>
      </c>
      <c r="H15" s="1">
        <f>Tabelle142356[[#This Row],[x2]]*$B$1</f>
        <v>0</v>
      </c>
      <c r="I15" s="1">
        <f>Tabelle142356[[#This Row],[y2]]*$B$1</f>
        <v>0</v>
      </c>
      <c r="J15" t="str" cm="1">
        <f t="array" ref="J15">toJson(Tabelle142356[[#This Row],[Punkte]],Tabelle142356[[#This Row],[x skaliert]],Tabelle142356[[#This Row],[y skaliert]],Tabelle142356[[#This Row],[Hide?]],Tabelle142356[[#This Row],[idloc]])</f>
        <v>{ "id" :"" ,"x":0,"y":0, "idloc":"" },</v>
      </c>
    </row>
    <row r="16" spans="1:10" x14ac:dyDescent="0.25">
      <c r="B16" s="1"/>
      <c r="C16" s="1"/>
      <c r="D16" s="1"/>
      <c r="E16" s="1"/>
      <c r="F16" s="1">
        <f>Tabelle142356[[#This Row],[x]]-0</f>
        <v>0</v>
      </c>
      <c r="G16" s="1">
        <f>Tabelle142356[[#This Row],[y]]+0</f>
        <v>0</v>
      </c>
      <c r="H16" s="1">
        <f>Tabelle142356[[#This Row],[x2]]*$B$1</f>
        <v>0</v>
      </c>
      <c r="I16" s="1">
        <f>Tabelle142356[[#This Row],[y2]]*$B$1</f>
        <v>0</v>
      </c>
      <c r="J16" t="str" cm="1">
        <f t="array" ref="J16">toJson(Tabelle142356[[#This Row],[Punkte]],Tabelle142356[[#This Row],[x skaliert]],Tabelle142356[[#This Row],[y skaliert]],Tabelle142356[[#This Row],[Hide?]],Tabelle142356[[#This Row],[idloc]])</f>
        <v>{ "id" :"" ,"x":0,"y":0, "idloc":"" },</v>
      </c>
    </row>
    <row r="17" spans="6:10" x14ac:dyDescent="0.25">
      <c r="F17" s="1">
        <f>Tabelle142356[[#This Row],[x]]-0</f>
        <v>0</v>
      </c>
      <c r="G17" s="1">
        <f>Tabelle142356[[#This Row],[y]]+0</f>
        <v>0</v>
      </c>
      <c r="H17" s="1">
        <f>Tabelle142356[[#This Row],[x2]]*$B$1</f>
        <v>0</v>
      </c>
      <c r="I17" s="1">
        <f>Tabelle142356[[#This Row],[y2]]*$B$1</f>
        <v>0</v>
      </c>
      <c r="J17" t="str" cm="1">
        <f t="array" ref="J17">toJson(Tabelle142356[[#This Row],[Punkte]],Tabelle142356[[#This Row],[x skaliert]],Tabelle142356[[#This Row],[y skaliert]],Tabelle142356[[#This Row],[Hide?]],Tabelle142356[[#This Row],[idloc]])</f>
        <v>{ "id" :"" ,"x":0,"y":0, "idloc":"" },</v>
      </c>
    </row>
    <row r="18" spans="6:10" x14ac:dyDescent="0.25">
      <c r="F18" s="1">
        <f>Tabelle142356[[#This Row],[x]]-0</f>
        <v>0</v>
      </c>
      <c r="G18" s="1">
        <f>Tabelle142356[[#This Row],[y]]+0</f>
        <v>0</v>
      </c>
      <c r="H18" s="1">
        <f>Tabelle142356[[#This Row],[x2]]*$B$1</f>
        <v>0</v>
      </c>
      <c r="I18" s="1">
        <f>Tabelle142356[[#This Row],[y2]]*$B$1</f>
        <v>0</v>
      </c>
      <c r="J18" t="str" cm="1">
        <f t="array" ref="J18">toJson(Tabelle142356[[#This Row],[Punkte]],Tabelle142356[[#This Row],[x skaliert]],Tabelle142356[[#This Row],[y skaliert]],Tabelle142356[[#This Row],[Hide?]],Tabelle142356[[#This Row],[idloc]])</f>
        <v>{ "id" :"" ,"x":0,"y":0, "idloc":"" },</v>
      </c>
    </row>
    <row r="19" spans="6:10" x14ac:dyDescent="0.25">
      <c r="F19" s="1">
        <f>Tabelle142356[[#This Row],[x]]-0</f>
        <v>0</v>
      </c>
      <c r="G19" s="1">
        <f>Tabelle142356[[#This Row],[y]]+0</f>
        <v>0</v>
      </c>
      <c r="H19" s="1">
        <f>Tabelle142356[[#This Row],[x2]]*$B$1</f>
        <v>0</v>
      </c>
      <c r="I19" s="1">
        <f>Tabelle142356[[#This Row],[y2]]*$B$1</f>
        <v>0</v>
      </c>
      <c r="J19" t="str" cm="1">
        <f t="array" ref="J19">toJson(Tabelle142356[[#This Row],[Punkte]],Tabelle142356[[#This Row],[x skaliert]],Tabelle142356[[#This Row],[y skaliert]],Tabelle142356[[#This Row],[Hide?]],Tabelle142356[[#This Row],[idloc]])</f>
        <v>{ "id" :"" ,"x":0,"y":0, "idloc":"" },</v>
      </c>
    </row>
    <row r="20" spans="6:10" x14ac:dyDescent="0.25">
      <c r="F20" s="1">
        <f>Tabelle142356[[#This Row],[x]]-0</f>
        <v>0</v>
      </c>
      <c r="G20" s="1">
        <f>Tabelle142356[[#This Row],[y]]+0</f>
        <v>0</v>
      </c>
      <c r="H20" s="1">
        <f>Tabelle142356[[#This Row],[x2]]*$B$1</f>
        <v>0</v>
      </c>
      <c r="I20" s="1">
        <f>Tabelle142356[[#This Row],[y2]]*$B$1</f>
        <v>0</v>
      </c>
      <c r="J20" t="str" cm="1">
        <f t="array" ref="J20">toJson(Tabelle142356[[#This Row],[Punkte]],Tabelle142356[[#This Row],[x skaliert]],Tabelle142356[[#This Row],[y skaliert]],Tabelle142356[[#This Row],[Hide?]],Tabelle142356[[#This Row],[idloc]])</f>
        <v>{ "id" :"" ,"x":0,"y":0, "idloc":"" },</v>
      </c>
    </row>
    <row r="21" spans="6:10" x14ac:dyDescent="0.25">
      <c r="F21" s="1">
        <f>Tabelle142356[[#This Row],[x]]-0</f>
        <v>0</v>
      </c>
      <c r="G21" s="1">
        <f>Tabelle142356[[#This Row],[y]]+0</f>
        <v>0</v>
      </c>
      <c r="H21" s="1">
        <f>Tabelle142356[[#This Row],[x2]]*$B$1</f>
        <v>0</v>
      </c>
      <c r="I21" s="1">
        <f>Tabelle142356[[#This Row],[y2]]*$B$1</f>
        <v>0</v>
      </c>
      <c r="J21" t="str" cm="1">
        <f t="array" ref="J21">toJson(Tabelle142356[[#This Row],[Punkte]],Tabelle142356[[#This Row],[x skaliert]],Tabelle142356[[#This Row],[y skaliert]],Tabelle142356[[#This Row],[Hide?]],Tabelle142356[[#This Row],[idloc]])</f>
        <v>{ "id" :"" ,"x":0,"y":0, "idloc":"" },</v>
      </c>
    </row>
    <row r="22" spans="6:10" x14ac:dyDescent="0.25">
      <c r="F22" s="1">
        <f>Tabelle142356[[#This Row],[x]]-0</f>
        <v>0</v>
      </c>
      <c r="G22" s="1">
        <f>Tabelle142356[[#This Row],[y]]+0</f>
        <v>0</v>
      </c>
      <c r="H22" s="1">
        <f>Tabelle142356[[#This Row],[x2]]*$B$1</f>
        <v>0</v>
      </c>
      <c r="I22" s="1">
        <f>Tabelle142356[[#This Row],[y2]]*$B$1</f>
        <v>0</v>
      </c>
      <c r="J22" t="str" cm="1">
        <f t="array" ref="J22">toJson(Tabelle142356[[#This Row],[Punkte]],Tabelle142356[[#This Row],[x skaliert]],Tabelle142356[[#This Row],[y skaliert]],Tabelle142356[[#This Row],[Hide?]],Tabelle142356[[#This Row],[idloc]])</f>
        <v>{ "id" :"" ,"x":0,"y":0, "idloc":"" },</v>
      </c>
    </row>
    <row r="23" spans="6:10" x14ac:dyDescent="0.25">
      <c r="F23" s="1">
        <f>Tabelle142356[[#This Row],[x]]-0</f>
        <v>0</v>
      </c>
      <c r="G23" s="1">
        <f>Tabelle142356[[#This Row],[y]]+0</f>
        <v>0</v>
      </c>
      <c r="H23" s="1">
        <f>Tabelle142356[[#This Row],[x2]]*$B$1</f>
        <v>0</v>
      </c>
      <c r="I23" s="1">
        <f>Tabelle142356[[#This Row],[y2]]*$B$1</f>
        <v>0</v>
      </c>
      <c r="J23" t="str" cm="1">
        <f t="array" ref="J23">toJson(Tabelle142356[[#This Row],[Punkte]],Tabelle142356[[#This Row],[x skaliert]],Tabelle142356[[#This Row],[y skaliert]],Tabelle142356[[#This Row],[Hide?]],Tabelle142356[[#This Row],[idloc]])</f>
        <v>{ "id" :"" ,"x":0,"y":0, "idloc":"" },</v>
      </c>
    </row>
    <row r="24" spans="6:10" x14ac:dyDescent="0.25">
      <c r="F24" s="1">
        <f>Tabelle142356[[#This Row],[x]]-0</f>
        <v>0</v>
      </c>
      <c r="G24" s="1">
        <f>Tabelle142356[[#This Row],[y]]+0</f>
        <v>0</v>
      </c>
      <c r="H24" s="1">
        <f>Tabelle142356[[#This Row],[x2]]*$B$1</f>
        <v>0</v>
      </c>
      <c r="I24" s="1">
        <f>Tabelle142356[[#This Row],[y2]]*$B$1</f>
        <v>0</v>
      </c>
      <c r="J24" t="str" cm="1">
        <f t="array" ref="J24">toJson(Tabelle142356[[#This Row],[Punkte]],Tabelle142356[[#This Row],[x skaliert]],Tabelle142356[[#This Row],[y skaliert]],Tabelle142356[[#This Row],[Hide?]],Tabelle142356[[#This Row],[idloc]])</f>
        <v>{ "id" :"" ,"x":0,"y":0, "idloc":"" },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ANA078</vt:lpstr>
      <vt:lpstr>Syn0377</vt:lpstr>
      <vt:lpstr>Syn0580</vt:lpstr>
      <vt:lpstr>Textilmaschine</vt:lpstr>
      <vt:lpstr>Textilmaschine_Stellung2</vt:lpstr>
      <vt:lpstr>ANA077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Schnabel</dc:creator>
  <cp:lastModifiedBy>Pascal</cp:lastModifiedBy>
  <dcterms:created xsi:type="dcterms:W3CDTF">2015-06-05T18:19:34Z</dcterms:created>
  <dcterms:modified xsi:type="dcterms:W3CDTF">2022-03-28T18:41:19Z</dcterms:modified>
</cp:coreProperties>
</file>
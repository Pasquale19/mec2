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scal\Google Drive\programmieren\mec3\mec2\Models\ErfurtGetriebe\"/>
    </mc:Choice>
  </mc:AlternateContent>
  <xr:revisionPtr revIDLastSave="0" documentId="13_ncr:1_{8EAFDE49-009C-49DB-B255-ECC0EC8A91C3}" xr6:coauthVersionLast="47" xr6:coauthVersionMax="47" xr10:uidLastSave="{00000000-0000-0000-0000-000000000000}"/>
  <bookViews>
    <workbookView minimized="1" xWindow="30795" yWindow="0" windowWidth="16035" windowHeight="12555" xr2:uid="{00000000-000D-0000-FFFF-FFFF00000000}"/>
  </bookViews>
  <sheets>
    <sheet name="Syn0580" sheetId="6" r:id="rId1"/>
    <sheet name="ANA078" sheetId="3" r:id="rId2"/>
    <sheet name="Syn0377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6" i="6" l="1"/>
  <c r="F26" i="6"/>
  <c r="E26" i="6"/>
  <c r="G26" i="6" s="1"/>
  <c r="H25" i="6"/>
  <c r="F25" i="6"/>
  <c r="E25" i="6"/>
  <c r="G25" i="6" s="1"/>
  <c r="G24" i="6"/>
  <c r="F24" i="6"/>
  <c r="H24" i="6" s="1"/>
  <c r="E24" i="6"/>
  <c r="F23" i="6"/>
  <c r="H23" i="6" s="1"/>
  <c r="E23" i="6"/>
  <c r="G23" i="6" s="1"/>
  <c r="H22" i="6"/>
  <c r="F22" i="6"/>
  <c r="E22" i="6"/>
  <c r="G22" i="6" s="1"/>
  <c r="H21" i="6"/>
  <c r="F21" i="6"/>
  <c r="E21" i="6"/>
  <c r="G21" i="6" s="1"/>
  <c r="G20" i="6"/>
  <c r="F20" i="6"/>
  <c r="H20" i="6" s="1"/>
  <c r="E20" i="6"/>
  <c r="F19" i="6"/>
  <c r="H19" i="6" s="1"/>
  <c r="E19" i="6"/>
  <c r="G19" i="6" s="1"/>
  <c r="H18" i="6"/>
  <c r="F18" i="6"/>
  <c r="E18" i="6"/>
  <c r="G18" i="6" s="1"/>
  <c r="H17" i="6"/>
  <c r="F17" i="6"/>
  <c r="E17" i="6"/>
  <c r="G17" i="6" s="1"/>
  <c r="G16" i="6"/>
  <c r="F16" i="6"/>
  <c r="H16" i="6" s="1"/>
  <c r="E16" i="6"/>
  <c r="H15" i="6"/>
  <c r="F15" i="6"/>
  <c r="E15" i="6"/>
  <c r="G15" i="6" s="1"/>
  <c r="H14" i="6"/>
  <c r="F14" i="6"/>
  <c r="E14" i="6"/>
  <c r="G14" i="6" s="1"/>
  <c r="H13" i="6"/>
  <c r="F13" i="6"/>
  <c r="E13" i="6"/>
  <c r="G13" i="6" s="1"/>
  <c r="G12" i="6"/>
  <c r="F12" i="6"/>
  <c r="H12" i="6" s="1"/>
  <c r="E12" i="6"/>
  <c r="H11" i="6"/>
  <c r="F11" i="6"/>
  <c r="E11" i="6"/>
  <c r="G11" i="6" s="1"/>
  <c r="F10" i="6"/>
  <c r="H10" i="6" s="1"/>
  <c r="E10" i="6"/>
  <c r="G10" i="6" s="1"/>
  <c r="H9" i="6"/>
  <c r="F9" i="6"/>
  <c r="E9" i="6"/>
  <c r="G9" i="6" s="1"/>
  <c r="F8" i="6"/>
  <c r="H8" i="6" s="1"/>
  <c r="E8" i="6"/>
  <c r="G8" i="6" s="1"/>
  <c r="H7" i="6"/>
  <c r="F7" i="6"/>
  <c r="E7" i="6"/>
  <c r="G7" i="6" s="1"/>
  <c r="F6" i="6"/>
  <c r="H6" i="6" s="1"/>
  <c r="E6" i="6"/>
  <c r="G6" i="6" s="1"/>
  <c r="F5" i="6"/>
  <c r="H5" i="6" s="1"/>
  <c r="E5" i="6"/>
  <c r="G5" i="6" s="1"/>
  <c r="F4" i="6"/>
  <c r="H4" i="6" s="1"/>
  <c r="E4" i="6"/>
  <c r="G4" i="6" s="1"/>
  <c r="F3" i="6"/>
  <c r="H3" i="6" s="1"/>
  <c r="E3" i="6"/>
  <c r="G3" i="6" s="1"/>
  <c r="E7" i="5"/>
  <c r="G7" i="5" s="1"/>
  <c r="F7" i="5"/>
  <c r="H7" i="5" s="1"/>
  <c r="E5" i="5"/>
  <c r="G5" i="5" s="1"/>
  <c r="F5" i="5"/>
  <c r="H5" i="5" s="1"/>
  <c r="F26" i="5"/>
  <c r="H26" i="5" s="1"/>
  <c r="E26" i="5"/>
  <c r="G26" i="5" s="1"/>
  <c r="F25" i="5"/>
  <c r="H25" i="5" s="1"/>
  <c r="E25" i="5"/>
  <c r="G25" i="5" s="1"/>
  <c r="F24" i="5"/>
  <c r="H24" i="5" s="1"/>
  <c r="E24" i="5"/>
  <c r="G24" i="5" s="1"/>
  <c r="F23" i="5"/>
  <c r="H23" i="5" s="1"/>
  <c r="E23" i="5"/>
  <c r="G23" i="5" s="1"/>
  <c r="F22" i="5"/>
  <c r="H22" i="5" s="1"/>
  <c r="E22" i="5"/>
  <c r="G22" i="5" s="1"/>
  <c r="F21" i="5"/>
  <c r="H21" i="5" s="1"/>
  <c r="E21" i="5"/>
  <c r="G21" i="5" s="1"/>
  <c r="F20" i="5"/>
  <c r="H20" i="5" s="1"/>
  <c r="E20" i="5"/>
  <c r="G20" i="5" s="1"/>
  <c r="F19" i="5"/>
  <c r="H19" i="5" s="1"/>
  <c r="E19" i="5"/>
  <c r="G19" i="5" s="1"/>
  <c r="F18" i="5"/>
  <c r="H18" i="5" s="1"/>
  <c r="E18" i="5"/>
  <c r="G18" i="5" s="1"/>
  <c r="F17" i="5"/>
  <c r="H17" i="5" s="1"/>
  <c r="E17" i="5"/>
  <c r="G17" i="5" s="1"/>
  <c r="F16" i="5"/>
  <c r="H16" i="5" s="1"/>
  <c r="E16" i="5"/>
  <c r="G16" i="5" s="1"/>
  <c r="H15" i="5"/>
  <c r="F15" i="5"/>
  <c r="E15" i="5"/>
  <c r="G15" i="5" s="1"/>
  <c r="F14" i="5"/>
  <c r="H14" i="5" s="1"/>
  <c r="E14" i="5"/>
  <c r="G14" i="5" s="1"/>
  <c r="F13" i="5"/>
  <c r="H13" i="5" s="1"/>
  <c r="E13" i="5"/>
  <c r="G13" i="5" s="1"/>
  <c r="F12" i="5"/>
  <c r="H12" i="5" s="1"/>
  <c r="E12" i="5"/>
  <c r="G12" i="5" s="1"/>
  <c r="F11" i="5"/>
  <c r="H11" i="5" s="1"/>
  <c r="E11" i="5"/>
  <c r="G11" i="5" s="1"/>
  <c r="F10" i="5"/>
  <c r="H10" i="5" s="1"/>
  <c r="E10" i="5"/>
  <c r="G10" i="5" s="1"/>
  <c r="F9" i="5"/>
  <c r="H9" i="5" s="1"/>
  <c r="E9" i="5"/>
  <c r="G9" i="5" s="1"/>
  <c r="F8" i="5"/>
  <c r="H8" i="5" s="1"/>
  <c r="E8" i="5"/>
  <c r="G8" i="5" s="1"/>
  <c r="F6" i="5"/>
  <c r="H6" i="5" s="1"/>
  <c r="E6" i="5"/>
  <c r="G6" i="5" s="1"/>
  <c r="F4" i="5"/>
  <c r="H4" i="5" s="1"/>
  <c r="E4" i="5"/>
  <c r="G4" i="5" s="1"/>
  <c r="F3" i="5"/>
  <c r="H3" i="5" s="1"/>
  <c r="E3" i="5"/>
  <c r="G3" i="5" s="1"/>
  <c r="E3" i="3"/>
  <c r="E4" i="3"/>
  <c r="E5" i="3"/>
  <c r="E6" i="3"/>
  <c r="G6" i="3" s="1"/>
  <c r="E7" i="3"/>
  <c r="G7" i="3" s="1"/>
  <c r="E8" i="3"/>
  <c r="G8" i="3" s="1"/>
  <c r="E9" i="3"/>
  <c r="G9" i="3" s="1"/>
  <c r="E10" i="3"/>
  <c r="E11" i="3"/>
  <c r="E12" i="3"/>
  <c r="E13" i="3"/>
  <c r="E14" i="3"/>
  <c r="G14" i="3" s="1"/>
  <c r="E15" i="3"/>
  <c r="G15" i="3" s="1"/>
  <c r="E16" i="3"/>
  <c r="E17" i="3"/>
  <c r="G17" i="3" s="1"/>
  <c r="E18" i="3"/>
  <c r="G18" i="3" s="1"/>
  <c r="E19" i="3"/>
  <c r="E20" i="3"/>
  <c r="E21" i="3"/>
  <c r="E22" i="3"/>
  <c r="E23" i="3"/>
  <c r="G23" i="3" s="1"/>
  <c r="E24" i="3"/>
  <c r="E25" i="3"/>
  <c r="G25" i="3" s="1"/>
  <c r="D3" i="3"/>
  <c r="D4" i="3"/>
  <c r="D5" i="3"/>
  <c r="D6" i="3"/>
  <c r="F6" i="3" s="1"/>
  <c r="D7" i="3"/>
  <c r="F7" i="3" s="1"/>
  <c r="D8" i="3"/>
  <c r="F8" i="3" s="1"/>
  <c r="D9" i="3"/>
  <c r="D10" i="3"/>
  <c r="D11" i="3"/>
  <c r="F11" i="3" s="1"/>
  <c r="D12" i="3"/>
  <c r="D13" i="3"/>
  <c r="D14" i="3"/>
  <c r="D15" i="3"/>
  <c r="F15" i="3" s="1"/>
  <c r="D16" i="3"/>
  <c r="F16" i="3" s="1"/>
  <c r="D17" i="3"/>
  <c r="F17" i="3" s="1"/>
  <c r="D18" i="3"/>
  <c r="D19" i="3"/>
  <c r="D20" i="3"/>
  <c r="D21" i="3"/>
  <c r="D22" i="3"/>
  <c r="D23" i="3"/>
  <c r="F23" i="3" s="1"/>
  <c r="D24" i="3"/>
  <c r="F24" i="3" s="1"/>
  <c r="D25" i="3"/>
  <c r="G13" i="3"/>
  <c r="G21" i="3"/>
  <c r="F4" i="3"/>
  <c r="F14" i="3"/>
  <c r="F22" i="3"/>
  <c r="F25" i="3"/>
  <c r="G3" i="3"/>
  <c r="G4" i="3"/>
  <c r="G5" i="3"/>
  <c r="G10" i="3"/>
  <c r="G11" i="3"/>
  <c r="G12" i="3"/>
  <c r="G16" i="3"/>
  <c r="G19" i="3"/>
  <c r="G20" i="3"/>
  <c r="G22" i="3"/>
  <c r="G24" i="3"/>
  <c r="F3" i="3"/>
  <c r="F5" i="3"/>
  <c r="F9" i="3"/>
  <c r="F10" i="3"/>
  <c r="F12" i="3"/>
  <c r="F13" i="3"/>
  <c r="F18" i="3"/>
  <c r="F19" i="3"/>
  <c r="F20" i="3"/>
  <c r="F21" i="3"/>
  <c r="H14" i="3" a="1"/>
  <c r="H17" i="3" a="1"/>
  <c r="H7" i="3" a="1"/>
  <c r="H23" i="3" a="1"/>
  <c r="H21" i="3" a="1"/>
  <c r="H20" i="3" a="1"/>
  <c r="H16" i="3" a="1"/>
  <c r="H18" i="3" a="1"/>
  <c r="H10" i="3" a="1"/>
  <c r="H22" i="3" a="1"/>
  <c r="H24" i="3" a="1"/>
  <c r="H9" i="3" a="1"/>
  <c r="H3" i="3" a="1"/>
  <c r="H6" i="3" a="1"/>
  <c r="H11" i="3" a="1"/>
  <c r="H4" i="3" a="1"/>
  <c r="H15" i="3" a="1"/>
  <c r="H19" i="3" a="1"/>
  <c r="H8" i="3" a="1"/>
  <c r="H13" i="3" a="1"/>
  <c r="H25" i="3" a="1"/>
  <c r="H12" i="3" a="1"/>
  <c r="H5" i="3" a="1"/>
  <c r="I26" i="6" a="1"/>
  <c r="I22" i="6" a="1"/>
  <c r="I18" i="6" a="1"/>
  <c r="I14" i="6" a="1"/>
  <c r="I10" i="6" a="1"/>
  <c r="I6" i="6" a="1"/>
  <c r="I5" i="6" a="1"/>
  <c r="I9" i="6" a="1"/>
  <c r="I23" i="6" a="1"/>
  <c r="I19" i="6" a="1"/>
  <c r="I15" i="6" a="1"/>
  <c r="I11" i="6" a="1"/>
  <c r="I7" i="6" a="1"/>
  <c r="I3" i="6" a="1"/>
  <c r="I17" i="6" a="1"/>
  <c r="I21" i="6" a="1"/>
  <c r="I24" i="6" a="1"/>
  <c r="I20" i="6" a="1"/>
  <c r="I16" i="6" a="1"/>
  <c r="I12" i="6" a="1"/>
  <c r="I8" i="6" a="1"/>
  <c r="I4" i="6" a="1"/>
  <c r="I13" i="6" a="1"/>
  <c r="I25" i="6" a="1"/>
  <c r="I20" i="5" a="1"/>
  <c r="I10" i="5" a="1"/>
  <c r="I19" i="5" a="1"/>
  <c r="I6" i="5" a="1"/>
  <c r="I24" i="5" a="1"/>
  <c r="I14" i="5" a="1"/>
  <c r="I18" i="5" a="1"/>
  <c r="I8" i="5" a="1"/>
  <c r="I3" i="5" a="1"/>
  <c r="I5" i="5" a="1"/>
  <c r="I21" i="5" a="1"/>
  <c r="I15" i="5" a="1"/>
  <c r="I7" i="5" a="1"/>
  <c r="I13" i="5" a="1"/>
  <c r="I22" i="5" a="1"/>
  <c r="I25" i="5" a="1"/>
  <c r="I4" i="5" a="1"/>
  <c r="I17" i="5" a="1"/>
  <c r="I26" i="5" a="1"/>
  <c r="I23" i="5" a="1"/>
  <c r="I12" i="5" a="1"/>
  <c r="I9" i="5" a="1"/>
  <c r="I11" i="5" a="1"/>
  <c r="I16" i="5" a="1"/>
  <c r="I25" i="6" l="1"/>
  <c r="I13" i="6"/>
  <c r="I4" i="6"/>
  <c r="I8" i="6"/>
  <c r="I12" i="6"/>
  <c r="I16" i="6"/>
  <c r="I20" i="6"/>
  <c r="I24" i="6"/>
  <c r="I21" i="6"/>
  <c r="I17" i="6"/>
  <c r="I3" i="6"/>
  <c r="I7" i="6"/>
  <c r="I11" i="6"/>
  <c r="I15" i="6"/>
  <c r="I19" i="6"/>
  <c r="I23" i="6"/>
  <c r="I9" i="6"/>
  <c r="I5" i="6"/>
  <c r="I6" i="6"/>
  <c r="I10" i="6"/>
  <c r="I14" i="6"/>
  <c r="I18" i="6"/>
  <c r="I22" i="6"/>
  <c r="I26" i="6"/>
  <c r="I3" i="5"/>
  <c r="I5" i="5"/>
  <c r="I19" i="5"/>
  <c r="I15" i="5"/>
  <c r="I11" i="5"/>
  <c r="I23" i="5"/>
  <c r="I26" i="5"/>
  <c r="I22" i="5"/>
  <c r="I18" i="5"/>
  <c r="I14" i="5"/>
  <c r="I10" i="5"/>
  <c r="I6" i="5"/>
  <c r="I9" i="5"/>
  <c r="I25" i="5"/>
  <c r="I17" i="5"/>
  <c r="I13" i="5"/>
  <c r="I21" i="5"/>
  <c r="I24" i="5"/>
  <c r="I20" i="5"/>
  <c r="I16" i="5"/>
  <c r="I12" i="5"/>
  <c r="I8" i="5"/>
  <c r="I4" i="5"/>
  <c r="I7" i="5"/>
  <c r="H8" i="3"/>
  <c r="H7" i="3"/>
  <c r="H9" i="3"/>
  <c r="H6" i="3"/>
  <c r="H5" i="3"/>
  <c r="H4" i="3"/>
  <c r="H3" i="3"/>
  <c r="H10" i="3"/>
  <c r="H14" i="3"/>
  <c r="H18" i="3"/>
  <c r="H24" i="3"/>
  <c r="H12" i="3"/>
  <c r="H16" i="3"/>
  <c r="H20" i="3"/>
  <c r="H22" i="3"/>
  <c r="H11" i="3"/>
  <c r="H15" i="3"/>
  <c r="H19" i="3"/>
  <c r="H25" i="3"/>
  <c r="H13" i="3"/>
  <c r="H17" i="3"/>
  <c r="H21" i="3"/>
  <c r="H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<sst xmlns="http://schemas.openxmlformats.org/spreadsheetml/2006/main" count="57" uniqueCount="18">
  <si>
    <t>Punkte</t>
  </si>
  <si>
    <t>x</t>
  </si>
  <si>
    <t>y</t>
  </si>
  <si>
    <t>A0</t>
  </si>
  <si>
    <t>B0</t>
  </si>
  <si>
    <t>C</t>
  </si>
  <si>
    <t>D</t>
  </si>
  <si>
    <t>D0</t>
  </si>
  <si>
    <t>B</t>
  </si>
  <si>
    <t>Spalte1</t>
  </si>
  <si>
    <t>A</t>
  </si>
  <si>
    <t>Skalierung:</t>
  </si>
  <si>
    <t>x skaliert</t>
  </si>
  <si>
    <t>y skaliert</t>
  </si>
  <si>
    <t>x2</t>
  </si>
  <si>
    <t>y2</t>
  </si>
  <si>
    <t>B02</t>
  </si>
  <si>
    <t>Hide?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</si>
</sst>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NumberFormat="1"/>
  </cellXfs>
  <cellStyles count="1">
    <cellStyle name="Standard" xfId="0" builtinId="0"/>
  </cellStyles>
  <dxfs count="15"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79D980-FF03-4739-8101-2710A98F1215}" name="Tabelle1423" displayName="Tabelle1423" ref="A2:I26" totalsRowShown="0">
  <autoFilter ref="A2:I26" xr:uid="{17F8605A-37AB-48A3-A5F0-10514E4A8482}"/>
  <tableColumns count="9">
    <tableColumn id="1" xr3:uid="{EEA711EB-422C-4F04-833B-F9B7AE71266A}" name="Punkte"/>
    <tableColumn id="2" xr3:uid="{BB60A21B-5E62-445E-9832-A792CF537A88}" name="x"/>
    <tableColumn id="3" xr3:uid="{4702F862-6D0D-4311-9621-5A527A9F6F70}" name="y"/>
    <tableColumn id="10" xr3:uid="{79B4BAD6-8E73-4F79-918C-F61BD957EAA6}" name="Hide?"/>
    <tableColumn id="8" xr3:uid="{2337FB68-8D1F-47C0-ABBB-97E2E9478B53}" name="x2" dataDxfId="4">
      <calculatedColumnFormula>Tabelle1423[[#This Row],[x]]-0</calculatedColumnFormula>
    </tableColumn>
    <tableColumn id="7" xr3:uid="{6CCEFDEE-9640-4D3C-957C-55D8242C9D30}" name="y2" dataDxfId="3">
      <calculatedColumnFormula>Tabelle1423[[#This Row],[y]]+0</calculatedColumnFormula>
    </tableColumn>
    <tableColumn id="6" xr3:uid="{0A8D7259-E370-4BFD-A3F0-3A7C03A16F84}" name="x skaliert" dataDxfId="2">
      <calculatedColumnFormula>Tabelle1423[[#This Row],[x2]]*$B$1</calculatedColumnFormula>
    </tableColumn>
    <tableColumn id="5" xr3:uid="{57FDCF53-33D0-40BA-BBE1-CEF915F31EDA}" name="y skaliert" dataDxfId="1">
      <calculatedColumnFormula>Tabelle1423[[#This Row],[y2]]*$B$1</calculatedColumnFormula>
    </tableColumn>
    <tableColumn id="4" xr3:uid="{57B2317D-2F1E-4C11-8D8C-9D8FECED2362}" name="Spalte1" dataDxfId="0">
      <calculatedColumnFormula array="1">toJson(Tabelle1423[[#This Row],[Punkte]],Tabelle1423[[#This Row],[x skaliert]],Tabelle1423[[#This Row],[y skaliert]],Tabelle1423[[#This Row],[Hide?]])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EED8C1-EC67-406B-8968-05729DDF94DC}" name="Tabelle14" displayName="Tabelle14" ref="A2:H25" totalsRowShown="0">
  <autoFilter ref="A2:H25" xr:uid="{17F8605A-37AB-48A3-A5F0-10514E4A8482}"/>
  <tableColumns count="8">
    <tableColumn id="1" xr3:uid="{583EF1A8-3530-4F3F-8921-2CE02DD208C8}" name="Punkte"/>
    <tableColumn id="2" xr3:uid="{9D455E0B-FF1F-47C4-BE04-F61F01499F6D}" name="x"/>
    <tableColumn id="3" xr3:uid="{7765E460-9AC9-4D12-B52D-6E893F1AA8ED}" name="y"/>
    <tableColumn id="8" xr3:uid="{BA99537A-B02C-435F-AB32-17F0A0DF0125}" name="x2" dataDxfId="14">
      <calculatedColumnFormula>Tabelle14[[#This Row],[x]]-0</calculatedColumnFormula>
    </tableColumn>
    <tableColumn id="7" xr3:uid="{6BAFD64F-DF62-41E9-804B-8CC2D45E745F}" name="y2" dataDxfId="13">
      <calculatedColumnFormula>Tabelle14[[#This Row],[y]]+0</calculatedColumnFormula>
    </tableColumn>
    <tableColumn id="6" xr3:uid="{2512D2BC-AAE1-47A8-80C6-E9CDFD4A95A5}" name="x skaliert" dataDxfId="12">
      <calculatedColumnFormula>Tabelle14[[#This Row],[x2]]*$B$1</calculatedColumnFormula>
    </tableColumn>
    <tableColumn id="5" xr3:uid="{3F252EB7-D285-4152-815B-ABD968814963}" name="y skaliert" dataDxfId="11">
      <calculatedColumnFormula>Tabelle14[[#This Row],[y2]]*$B$1</calculatedColumnFormula>
    </tableColumn>
    <tableColumn id="4" xr3:uid="{C9E13EA3-D74D-451A-8FBC-ADE6EDF4806C}" name="Spalte1" dataDxfId="10">
      <calculatedColumnFormula array="1">toJson(Tabelle14[[#This Row],[Punkte]],Tabelle14[[#This Row],[x skaliert]],Tabelle14[[#This Row],[y skaliert]])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B4D294-6050-447E-9FF9-250292921FED}" name="Tabelle142" displayName="Tabelle142" ref="A2:I26" totalsRowShown="0">
  <autoFilter ref="A2:I26" xr:uid="{17F8605A-37AB-48A3-A5F0-10514E4A8482}"/>
  <tableColumns count="9">
    <tableColumn id="1" xr3:uid="{F0621503-82E4-49DB-9169-4B64AE5E6EC6}" name="Punkte"/>
    <tableColumn id="2" xr3:uid="{BEC92C3B-F7AC-411E-883C-7B83B1E6C8F0}" name="x"/>
    <tableColumn id="3" xr3:uid="{9E547544-ED01-4C9D-83E4-D313B4E65E9D}" name="y"/>
    <tableColumn id="10" xr3:uid="{D0ED8906-2351-4F72-A092-9FF9A40B39AB}" name="Hide?"/>
    <tableColumn id="8" xr3:uid="{87554A9E-CB7A-4600-A07D-107934C6349D}" name="x2" dataDxfId="9">
      <calculatedColumnFormula>Tabelle142[[#This Row],[x]]-0</calculatedColumnFormula>
    </tableColumn>
    <tableColumn id="7" xr3:uid="{59A80727-A402-4F6D-8594-4AA7B08C1390}" name="y2" dataDxfId="8">
      <calculatedColumnFormula>Tabelle142[[#This Row],[y]]+0</calculatedColumnFormula>
    </tableColumn>
    <tableColumn id="6" xr3:uid="{3D3E66D1-1760-4E0F-9E08-EA7771EDE442}" name="x skaliert" dataDxfId="7">
      <calculatedColumnFormula>Tabelle142[[#This Row],[x2]]*$B$1</calculatedColumnFormula>
    </tableColumn>
    <tableColumn id="5" xr3:uid="{889F61D7-9F4E-49D1-8D04-B6E622E92246}" name="y skaliert" dataDxfId="6">
      <calculatedColumnFormula>Tabelle142[[#This Row],[y2]]*$B$1</calculatedColumnFormula>
    </tableColumn>
    <tableColumn id="4" xr3:uid="{C78597F3-AC2F-4DD5-B340-ED9C3D47E62D}" name="Spalte1" dataDxfId="5">
      <calculatedColumnFormula array="1">toJson(Tabelle142[[#This Row],[Punkte]],Tabelle142[[#This Row],[x skaliert]],Tabelle142[[#This Row],[y skaliert]],Tabelle142[[#This Row],[Hide?]])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7850D-E6D3-4CE8-A09B-6D3A9038C4A0}">
  <sheetPr codeName="Tabelle5"/>
  <dimension ref="A1:I26"/>
  <sheetViews>
    <sheetView tabSelected="1" workbookViewId="0">
      <selection activeCell="I3" sqref="I3:I10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4" width="13" customWidth="1"/>
    <col min="7" max="7" width="11.85546875" customWidth="1"/>
    <col min="8" max="8" width="12" customWidth="1"/>
    <col min="9" max="9" width="62" customWidth="1"/>
  </cols>
  <sheetData>
    <row r="1" spans="1:9" x14ac:dyDescent="0.25">
      <c r="A1" t="s">
        <v>11</v>
      </c>
      <c r="B1" s="1">
        <v>25</v>
      </c>
    </row>
    <row r="2" spans="1:9" x14ac:dyDescent="0.25">
      <c r="A2" t="s">
        <v>0</v>
      </c>
      <c r="B2" t="s">
        <v>1</v>
      </c>
      <c r="C2" t="s">
        <v>2</v>
      </c>
      <c r="D2" t="s">
        <v>17</v>
      </c>
      <c r="E2" t="s">
        <v>14</v>
      </c>
      <c r="F2" t="s">
        <v>15</v>
      </c>
      <c r="G2" t="s">
        <v>12</v>
      </c>
      <c r="H2" t="s">
        <v>13</v>
      </c>
      <c r="I2" t="s">
        <v>9</v>
      </c>
    </row>
    <row r="3" spans="1:9" x14ac:dyDescent="0.25">
      <c r="A3" t="s">
        <v>3</v>
      </c>
      <c r="B3" s="3">
        <v>8.7769999999999992</v>
      </c>
      <c r="C3" s="3">
        <v>20.589179999999999</v>
      </c>
      <c r="D3" s="3"/>
      <c r="E3" s="1">
        <f>Tabelle1423[[#This Row],[x]]-0</f>
        <v>8.7769999999999992</v>
      </c>
      <c r="F3" s="1">
        <f>Tabelle1423[[#This Row],[y]]+0</f>
        <v>20.589179999999999</v>
      </c>
      <c r="G3" s="2">
        <f>Tabelle1423[[#This Row],[x2]]*$B$1</f>
        <v>219.42499999999998</v>
      </c>
      <c r="H3" s="2">
        <f>Tabelle1423[[#This Row],[y2]]*$B$1</f>
        <v>514.72949999999992</v>
      </c>
      <c r="I3" t="str" cm="1">
        <f t="array" ref="I3">toJson(Tabelle1423[[#This Row],[Punkte]],Tabelle1423[[#This Row],[x skaliert]],Tabelle1423[[#This Row],[y skaliert]],Tabelle1423[[#This Row],[Hide?]])</f>
        <v>{ "id" :"A0" ,"x":219.425,"y":514.7295,"base":true, "optic":"FG" , "idloc":"e" },</v>
      </c>
    </row>
    <row r="4" spans="1:9" x14ac:dyDescent="0.25">
      <c r="A4" t="s">
        <v>10</v>
      </c>
      <c r="B4" s="3">
        <v>4.5494700000000003</v>
      </c>
      <c r="C4" s="3">
        <v>18.47505</v>
      </c>
      <c r="D4" s="3"/>
      <c r="E4" s="1">
        <f>Tabelle1423[[#This Row],[x]]-0</f>
        <v>4.5494700000000003</v>
      </c>
      <c r="F4" s="1">
        <f>Tabelle1423[[#This Row],[y]]+0</f>
        <v>18.47505</v>
      </c>
      <c r="G4" s="2">
        <f>Tabelle1423[[#This Row],[x2]]*$B$1</f>
        <v>113.73675000000001</v>
      </c>
      <c r="H4" s="2">
        <f>Tabelle1423[[#This Row],[y2]]*$B$1</f>
        <v>461.87624999999997</v>
      </c>
      <c r="I4" t="str" cm="1">
        <f t="array" ref="I4">toJson(Tabelle1423[[#This Row],[Punkte]],Tabelle1423[[#This Row],[x skaliert]],Tabelle1423[[#This Row],[y skaliert]],Tabelle1423[[#This Row],[Hide?]])</f>
        <v>{ "id" :"A" ,"x":113.73675,"y":461.87625, "idloc":"e" },</v>
      </c>
    </row>
    <row r="5" spans="1:9" x14ac:dyDescent="0.25">
      <c r="A5" t="s">
        <v>4</v>
      </c>
      <c r="B5" s="3">
        <v>24.25611</v>
      </c>
      <c r="C5" s="3">
        <v>20.589179999999999</v>
      </c>
      <c r="D5" s="3"/>
      <c r="E5" s="1">
        <f>Tabelle1423[[#This Row],[x]]-0</f>
        <v>24.25611</v>
      </c>
      <c r="F5" s="1">
        <f>Tabelle1423[[#This Row],[y]]+0</f>
        <v>20.589179999999999</v>
      </c>
      <c r="G5" s="2">
        <f>Tabelle1423[[#This Row],[x2]]*$B$1</f>
        <v>606.40274999999997</v>
      </c>
      <c r="H5" s="2">
        <f>Tabelle1423[[#This Row],[y2]]*$B$1</f>
        <v>514.72949999999992</v>
      </c>
      <c r="I5" s="4" t="str" cm="1">
        <f t="array" ref="I5">toJson(Tabelle1423[[#This Row],[Punkte]],Tabelle1423[[#This Row],[x skaliert]],Tabelle1423[[#This Row],[y skaliert]],Tabelle1423[[#This Row],[Hide?]])</f>
        <v>{ "id" :"B0" ,"x":606.40275,"y":514.7295,"base":true, "optic":"FG" , "idloc":"e" },</v>
      </c>
    </row>
    <row r="6" spans="1:9" x14ac:dyDescent="0.25">
      <c r="A6" t="s">
        <v>8</v>
      </c>
      <c r="B6" s="3">
        <v>12.854950000000001</v>
      </c>
      <c r="C6" s="3">
        <v>22.51454</v>
      </c>
      <c r="D6" s="3"/>
      <c r="E6" s="1">
        <f>Tabelle1423[[#This Row],[x]]-0</f>
        <v>12.854950000000001</v>
      </c>
      <c r="F6" s="1">
        <f>Tabelle1423[[#This Row],[y]]+0</f>
        <v>22.51454</v>
      </c>
      <c r="G6" s="2">
        <f>Tabelle1423[[#This Row],[x2]]*$B$1</f>
        <v>321.37375000000003</v>
      </c>
      <c r="H6" s="2">
        <f>Tabelle1423[[#This Row],[y2]]*$B$1</f>
        <v>562.86350000000004</v>
      </c>
      <c r="I6" t="str" cm="1">
        <f t="array" ref="I6">toJson(Tabelle1423[[#This Row],[Punkte]],Tabelle1423[[#This Row],[x skaliert]],Tabelle1423[[#This Row],[y skaliert]],Tabelle1423[[#This Row],[Hide?]])</f>
        <v>{ "id" :"B" ,"x":321.37375,"y":562.8635, "idloc":"e" },</v>
      </c>
    </row>
    <row r="7" spans="1:9" hidden="1" x14ac:dyDescent="0.25">
      <c r="A7" t="s">
        <v>16</v>
      </c>
      <c r="B7" s="3">
        <v>155.59020000000001</v>
      </c>
      <c r="C7" s="3">
        <v>234.73084</v>
      </c>
      <c r="D7" s="3" t="s">
        <v>1</v>
      </c>
      <c r="E7" s="1">
        <f>Tabelle1423[[#This Row],[x]]-0</f>
        <v>155.59020000000001</v>
      </c>
      <c r="F7" s="1">
        <f>Tabelle1423[[#This Row],[y]]+0</f>
        <v>234.73084</v>
      </c>
      <c r="G7" s="2">
        <f>Tabelle1423[[#This Row],[x2]]*$B$1</f>
        <v>3889.7550000000001</v>
      </c>
      <c r="H7" s="2">
        <f>Tabelle1423[[#This Row],[y2]]*$B$1</f>
        <v>5868.2709999999997</v>
      </c>
      <c r="I7" s="4" t="str" cm="1">
        <f t="array" ref="I7">toJson(Tabelle1423[[#This Row],[Punkte]],Tabelle1423[[#This Row],[x skaliert]],Tabelle1423[[#This Row],[y skaliert]],Tabelle1423[[#This Row],[Hide?]])</f>
        <v>{ "id" :"B02" ,"x":3889.755,"y":5868.271,"base":true, "optic":"FG" , "hid":"true" , "idloc":"e" },</v>
      </c>
    </row>
    <row r="8" spans="1:9" x14ac:dyDescent="0.25">
      <c r="A8" t="s">
        <v>5</v>
      </c>
      <c r="B8" s="3">
        <v>15.30884</v>
      </c>
      <c r="C8" s="3">
        <v>15.870150000000001</v>
      </c>
      <c r="D8" s="3"/>
      <c r="E8" s="1">
        <f>Tabelle1423[[#This Row],[x]]-0</f>
        <v>15.30884</v>
      </c>
      <c r="F8" s="1">
        <f>Tabelle1423[[#This Row],[y]]+0</f>
        <v>15.870150000000001</v>
      </c>
      <c r="G8" s="2">
        <f>Tabelle1423[[#This Row],[x2]]*$B$1</f>
        <v>382.721</v>
      </c>
      <c r="H8" s="2">
        <f>Tabelle1423[[#This Row],[y2]]*$B$1</f>
        <v>396.75375000000003</v>
      </c>
      <c r="I8" t="str" cm="1">
        <f t="array" ref="I8">toJson(Tabelle1423[[#This Row],[Punkte]],Tabelle1423[[#This Row],[x skaliert]],Tabelle1423[[#This Row],[y skaliert]],Tabelle1423[[#This Row],[Hide?]])</f>
        <v>{ "id" :"C" ,"x":382.721,"y":396.75375, "idloc":"e" },</v>
      </c>
    </row>
    <row r="9" spans="1:9" x14ac:dyDescent="0.25">
      <c r="A9" t="s">
        <v>6</v>
      </c>
      <c r="B9" s="3">
        <v>20.480889999999999</v>
      </c>
      <c r="C9" s="3">
        <v>13.944789999999999</v>
      </c>
      <c r="D9" s="3"/>
      <c r="E9" s="1">
        <f>Tabelle1423[[#This Row],[x]]-0</f>
        <v>20.480889999999999</v>
      </c>
      <c r="F9" s="1">
        <f>Tabelle1423[[#This Row],[y]]+0</f>
        <v>13.944789999999999</v>
      </c>
      <c r="G9" s="2">
        <f>Tabelle1423[[#This Row],[x2]]*$B$1</f>
        <v>512.02224999999999</v>
      </c>
      <c r="H9" s="2">
        <f>Tabelle1423[[#This Row],[y2]]*$B$1</f>
        <v>348.61975000000001</v>
      </c>
      <c r="I9" t="str" cm="1">
        <f t="array" ref="I9">toJson(Tabelle1423[[#This Row],[Punkte]],Tabelle1423[[#This Row],[x skaliert]],Tabelle1423[[#This Row],[y skaliert]],Tabelle1423[[#This Row],[Hide?]])</f>
        <v>{ "id" :"D" ,"x":512.02225,"y":348.61975, "idloc":"e" },</v>
      </c>
    </row>
    <row r="10" spans="1:9" x14ac:dyDescent="0.25">
      <c r="A10" t="s">
        <v>7</v>
      </c>
      <c r="B10" s="3">
        <v>20.480889999999999</v>
      </c>
      <c r="C10" s="3">
        <v>24.779669999999999</v>
      </c>
      <c r="D10" s="3" t="s">
        <v>1</v>
      </c>
      <c r="E10" s="1">
        <f>Tabelle1423[[#This Row],[x]]-0</f>
        <v>20.480889999999999</v>
      </c>
      <c r="F10" s="1">
        <f>Tabelle1423[[#This Row],[y]]+0</f>
        <v>24.779669999999999</v>
      </c>
      <c r="G10" s="2">
        <f>Tabelle1423[[#This Row],[x2]]*$B$1</f>
        <v>512.02224999999999</v>
      </c>
      <c r="H10" s="2">
        <f>Tabelle1423[[#This Row],[y2]]*$B$1</f>
        <v>619.49175000000002</v>
      </c>
      <c r="I10" t="str" cm="1">
        <f t="array" ref="I10">toJson(Tabelle1423[[#This Row],[Punkte]],Tabelle1423[[#This Row],[x skaliert]],Tabelle1423[[#This Row],[y skaliert]],Tabelle1423[[#This Row],[Hide?]])</f>
        <v>{ "id" :"D0" ,"x":512.02225,"y":619.49175,"base":true, "optic":"FG" , "hid":"true" , "idloc":"e" },</v>
      </c>
    </row>
    <row r="11" spans="1:9" x14ac:dyDescent="0.25">
      <c r="B11" s="1"/>
      <c r="C11" s="1"/>
      <c r="D11" s="1"/>
      <c r="E11" s="1">
        <f>Tabelle1423[[#This Row],[x]]-0</f>
        <v>0</v>
      </c>
      <c r="F11" s="1">
        <f>Tabelle1423[[#This Row],[y]]+0</f>
        <v>0</v>
      </c>
      <c r="G11" s="1">
        <f>Tabelle1423[[#This Row],[x2]]*$B$1</f>
        <v>0</v>
      </c>
      <c r="H11" s="1">
        <f>Tabelle1423[[#This Row],[y2]]*$B$1</f>
        <v>0</v>
      </c>
      <c r="I11" t="str" cm="1">
        <f t="array" ref="I11">toJson(Tabelle1423[[#This Row],[Punkte]],Tabelle1423[[#This Row],[x skaliert]],Tabelle1423[[#This Row],[y skaliert]],Tabelle1423[[#This Row],[Hide?]])</f>
        <v>{ "id" :"" ,"x":0,"y":0, "idloc":"e" },</v>
      </c>
    </row>
    <row r="12" spans="1:9" x14ac:dyDescent="0.25">
      <c r="B12" s="1"/>
      <c r="C12" s="1"/>
      <c r="D12" s="1"/>
      <c r="E12" s="1">
        <f>Tabelle1423[[#This Row],[x]]-0</f>
        <v>0</v>
      </c>
      <c r="F12" s="1">
        <f>Tabelle1423[[#This Row],[y]]+0</f>
        <v>0</v>
      </c>
      <c r="G12" s="1">
        <f>Tabelle1423[[#This Row],[x2]]*$B$1</f>
        <v>0</v>
      </c>
      <c r="H12" s="1">
        <f>Tabelle1423[[#This Row],[y2]]*$B$1</f>
        <v>0</v>
      </c>
      <c r="I12" t="str" cm="1">
        <f t="array" ref="I12">toJson(Tabelle1423[[#This Row],[Punkte]],Tabelle1423[[#This Row],[x skaliert]],Tabelle1423[[#This Row],[y skaliert]],Tabelle1423[[#This Row],[Hide?]])</f>
        <v>{ "id" :"" ,"x":0,"y":0, "idloc":"e" },</v>
      </c>
    </row>
    <row r="13" spans="1:9" x14ac:dyDescent="0.25">
      <c r="B13" s="1"/>
      <c r="C13" s="1"/>
      <c r="D13" s="1"/>
      <c r="E13" s="1">
        <f>Tabelle1423[[#This Row],[x]]-0</f>
        <v>0</v>
      </c>
      <c r="F13" s="1">
        <f>Tabelle1423[[#This Row],[y]]+0</f>
        <v>0</v>
      </c>
      <c r="G13" s="1">
        <f>Tabelle1423[[#This Row],[x2]]*$B$1</f>
        <v>0</v>
      </c>
      <c r="H13" s="1">
        <f>Tabelle1423[[#This Row],[y2]]*$B$1</f>
        <v>0</v>
      </c>
      <c r="I13" t="str" cm="1">
        <f t="array" ref="I13">toJson(Tabelle1423[[#This Row],[Punkte]],Tabelle1423[[#This Row],[x skaliert]],Tabelle1423[[#This Row],[y skaliert]],Tabelle1423[[#This Row],[Hide?]])</f>
        <v>{ "id" :"" ,"x":0,"y":0, "idloc":"e" },</v>
      </c>
    </row>
    <row r="14" spans="1:9" x14ac:dyDescent="0.25">
      <c r="B14" s="1"/>
      <c r="C14" s="1"/>
      <c r="D14" s="1"/>
      <c r="E14" s="1">
        <f>Tabelle1423[[#This Row],[x]]-0</f>
        <v>0</v>
      </c>
      <c r="F14" s="1">
        <f>Tabelle1423[[#This Row],[y]]+0</f>
        <v>0</v>
      </c>
      <c r="G14" s="1">
        <f>Tabelle1423[[#This Row],[x2]]*$B$1</f>
        <v>0</v>
      </c>
      <c r="H14" s="1">
        <f>Tabelle1423[[#This Row],[y2]]*$B$1</f>
        <v>0</v>
      </c>
      <c r="I14" t="str" cm="1">
        <f t="array" ref="I14">toJson(Tabelle1423[[#This Row],[Punkte]],Tabelle1423[[#This Row],[x skaliert]],Tabelle1423[[#This Row],[y skaliert]],Tabelle1423[[#This Row],[Hide?]])</f>
        <v>{ "id" :"" ,"x":0,"y":0, "idloc":"e" },</v>
      </c>
    </row>
    <row r="15" spans="1:9" x14ac:dyDescent="0.25">
      <c r="B15" s="1"/>
      <c r="C15" s="1"/>
      <c r="D15" s="1"/>
      <c r="E15" s="1">
        <f>Tabelle1423[[#This Row],[x]]-0</f>
        <v>0</v>
      </c>
      <c r="F15" s="1">
        <f>Tabelle1423[[#This Row],[y]]+0</f>
        <v>0</v>
      </c>
      <c r="G15" s="1">
        <f>Tabelle1423[[#This Row],[x2]]*$B$1</f>
        <v>0</v>
      </c>
      <c r="H15" s="1">
        <f>Tabelle1423[[#This Row],[y2]]*$B$1</f>
        <v>0</v>
      </c>
      <c r="I15" t="str" cm="1">
        <f t="array" ref="I15">toJson(Tabelle1423[[#This Row],[Punkte]],Tabelle1423[[#This Row],[x skaliert]],Tabelle1423[[#This Row],[y skaliert]],Tabelle1423[[#This Row],[Hide?]])</f>
        <v>{ "id" :"" ,"x":0,"y":0, "idloc":"e" },</v>
      </c>
    </row>
    <row r="16" spans="1:9" x14ac:dyDescent="0.25">
      <c r="B16" s="1"/>
      <c r="C16" s="1"/>
      <c r="D16" s="1"/>
      <c r="E16" s="1">
        <f>Tabelle1423[[#This Row],[x]]-0</f>
        <v>0</v>
      </c>
      <c r="F16" s="1">
        <f>Tabelle1423[[#This Row],[y]]+0</f>
        <v>0</v>
      </c>
      <c r="G16" s="1">
        <f>Tabelle1423[[#This Row],[x2]]*$B$1</f>
        <v>0</v>
      </c>
      <c r="H16" s="1">
        <f>Tabelle1423[[#This Row],[y2]]*$B$1</f>
        <v>0</v>
      </c>
      <c r="I16" t="str" cm="1">
        <f t="array" ref="I16">toJson(Tabelle1423[[#This Row],[Punkte]],Tabelle1423[[#This Row],[x skaliert]],Tabelle1423[[#This Row],[y skaliert]],Tabelle1423[[#This Row],[Hide?]])</f>
        <v>{ "id" :"" ,"x":0,"y":0, "idloc":"e" },</v>
      </c>
    </row>
    <row r="17" spans="2:9" x14ac:dyDescent="0.25">
      <c r="B17" s="1"/>
      <c r="C17" s="1"/>
      <c r="D17" s="1"/>
      <c r="E17" s="1">
        <f>Tabelle1423[[#This Row],[x]]-0</f>
        <v>0</v>
      </c>
      <c r="F17" s="1">
        <f>Tabelle1423[[#This Row],[y]]+0</f>
        <v>0</v>
      </c>
      <c r="G17" s="1">
        <f>Tabelle1423[[#This Row],[x2]]*$B$1</f>
        <v>0</v>
      </c>
      <c r="H17" s="1">
        <f>Tabelle1423[[#This Row],[y2]]*$B$1</f>
        <v>0</v>
      </c>
      <c r="I17" t="str" cm="1">
        <f t="array" ref="I17">toJson(Tabelle1423[[#This Row],[Punkte]],Tabelle1423[[#This Row],[x skaliert]],Tabelle1423[[#This Row],[y skaliert]],Tabelle1423[[#This Row],[Hide?]])</f>
        <v>{ "id" :"" ,"x":0,"y":0, "idloc":"e" },</v>
      </c>
    </row>
    <row r="18" spans="2:9" x14ac:dyDescent="0.25">
      <c r="B18" s="1"/>
      <c r="C18" s="1"/>
      <c r="D18" s="1"/>
      <c r="E18" s="1">
        <f>Tabelle1423[[#This Row],[x]]-0</f>
        <v>0</v>
      </c>
      <c r="F18" s="1">
        <f>Tabelle1423[[#This Row],[y]]+0</f>
        <v>0</v>
      </c>
      <c r="G18" s="1">
        <f>Tabelle1423[[#This Row],[x2]]*$B$1</f>
        <v>0</v>
      </c>
      <c r="H18" s="1">
        <f>Tabelle1423[[#This Row],[y2]]*$B$1</f>
        <v>0</v>
      </c>
      <c r="I18" t="str" cm="1">
        <f t="array" ref="I18">toJson(Tabelle1423[[#This Row],[Punkte]],Tabelle1423[[#This Row],[x skaliert]],Tabelle1423[[#This Row],[y skaliert]],Tabelle1423[[#This Row],[Hide?]])</f>
        <v>{ "id" :"" ,"x":0,"y":0, "idloc":"e" },</v>
      </c>
    </row>
    <row r="19" spans="2:9" x14ac:dyDescent="0.25">
      <c r="E19" s="1">
        <f>Tabelle1423[[#This Row],[x]]-0</f>
        <v>0</v>
      </c>
      <c r="F19" s="1">
        <f>Tabelle1423[[#This Row],[y]]+0</f>
        <v>0</v>
      </c>
      <c r="G19" s="1">
        <f>Tabelle1423[[#This Row],[x2]]*$B$1</f>
        <v>0</v>
      </c>
      <c r="H19" s="1">
        <f>Tabelle1423[[#This Row],[y2]]*$B$1</f>
        <v>0</v>
      </c>
      <c r="I19" t="str" cm="1">
        <f t="array" ref="I19">toJson(Tabelle1423[[#This Row],[Punkte]],Tabelle1423[[#This Row],[x skaliert]],Tabelle1423[[#This Row],[y skaliert]],Tabelle1423[[#This Row],[Hide?]])</f>
        <v>{ "id" :"" ,"x":0,"y":0, "idloc":"e" },</v>
      </c>
    </row>
    <row r="20" spans="2:9" x14ac:dyDescent="0.25">
      <c r="E20" s="1">
        <f>Tabelle1423[[#This Row],[x]]-0</f>
        <v>0</v>
      </c>
      <c r="F20" s="1">
        <f>Tabelle1423[[#This Row],[y]]+0</f>
        <v>0</v>
      </c>
      <c r="G20" s="1">
        <f>Tabelle1423[[#This Row],[x2]]*$B$1</f>
        <v>0</v>
      </c>
      <c r="H20" s="1">
        <f>Tabelle1423[[#This Row],[y2]]*$B$1</f>
        <v>0</v>
      </c>
      <c r="I20" t="str" cm="1">
        <f t="array" ref="I20">toJson(Tabelle1423[[#This Row],[Punkte]],Tabelle1423[[#This Row],[x skaliert]],Tabelle1423[[#This Row],[y skaliert]],Tabelle1423[[#This Row],[Hide?]])</f>
        <v>{ "id" :"" ,"x":0,"y":0, "idloc":"e" },</v>
      </c>
    </row>
    <row r="21" spans="2:9" x14ac:dyDescent="0.25">
      <c r="E21" s="1">
        <f>Tabelle1423[[#This Row],[x]]-0</f>
        <v>0</v>
      </c>
      <c r="F21" s="1">
        <f>Tabelle1423[[#This Row],[y]]+0</f>
        <v>0</v>
      </c>
      <c r="G21" s="1">
        <f>Tabelle1423[[#This Row],[x2]]*$B$1</f>
        <v>0</v>
      </c>
      <c r="H21" s="1">
        <f>Tabelle1423[[#This Row],[y2]]*$B$1</f>
        <v>0</v>
      </c>
      <c r="I21" t="str" cm="1">
        <f t="array" ref="I21">toJson(Tabelle1423[[#This Row],[Punkte]],Tabelle1423[[#This Row],[x skaliert]],Tabelle1423[[#This Row],[y skaliert]],Tabelle1423[[#This Row],[Hide?]])</f>
        <v>{ "id" :"" ,"x":0,"y":0, "idloc":"e" },</v>
      </c>
    </row>
    <row r="22" spans="2:9" x14ac:dyDescent="0.25">
      <c r="E22" s="1">
        <f>Tabelle1423[[#This Row],[x]]-0</f>
        <v>0</v>
      </c>
      <c r="F22" s="1">
        <f>Tabelle1423[[#This Row],[y]]+0</f>
        <v>0</v>
      </c>
      <c r="G22" s="1">
        <f>Tabelle1423[[#This Row],[x2]]*$B$1</f>
        <v>0</v>
      </c>
      <c r="H22" s="1">
        <f>Tabelle1423[[#This Row],[y2]]*$B$1</f>
        <v>0</v>
      </c>
      <c r="I22" t="str" cm="1">
        <f t="array" ref="I22">toJson(Tabelle1423[[#This Row],[Punkte]],Tabelle1423[[#This Row],[x skaliert]],Tabelle1423[[#This Row],[y skaliert]],Tabelle1423[[#This Row],[Hide?]])</f>
        <v>{ "id" :"" ,"x":0,"y":0, "idloc":"e" },</v>
      </c>
    </row>
    <row r="23" spans="2:9" x14ac:dyDescent="0.25">
      <c r="E23" s="1">
        <f>Tabelle1423[[#This Row],[x]]-0</f>
        <v>0</v>
      </c>
      <c r="F23" s="1">
        <f>Tabelle1423[[#This Row],[y]]+0</f>
        <v>0</v>
      </c>
      <c r="G23" s="1">
        <f>Tabelle1423[[#This Row],[x2]]*$B$1</f>
        <v>0</v>
      </c>
      <c r="H23" s="1">
        <f>Tabelle1423[[#This Row],[y2]]*$B$1</f>
        <v>0</v>
      </c>
      <c r="I23" t="str" cm="1">
        <f t="array" ref="I23">toJson(Tabelle1423[[#This Row],[Punkte]],Tabelle1423[[#This Row],[x skaliert]],Tabelle1423[[#This Row],[y skaliert]],Tabelle1423[[#This Row],[Hide?]])</f>
        <v>{ "id" :"" ,"x":0,"y":0, "idloc":"e" },</v>
      </c>
    </row>
    <row r="24" spans="2:9" x14ac:dyDescent="0.25">
      <c r="E24" s="1">
        <f>Tabelle1423[[#This Row],[x]]-0</f>
        <v>0</v>
      </c>
      <c r="F24" s="1">
        <f>Tabelle1423[[#This Row],[y]]+0</f>
        <v>0</v>
      </c>
      <c r="G24" s="1">
        <f>Tabelle1423[[#This Row],[x2]]*$B$1</f>
        <v>0</v>
      </c>
      <c r="H24" s="1">
        <f>Tabelle1423[[#This Row],[y2]]*$B$1</f>
        <v>0</v>
      </c>
      <c r="I24" t="str" cm="1">
        <f t="array" ref="I24">toJson(Tabelle1423[[#This Row],[Punkte]],Tabelle1423[[#This Row],[x skaliert]],Tabelle1423[[#This Row],[y skaliert]],Tabelle1423[[#This Row],[Hide?]])</f>
        <v>{ "id" :"" ,"x":0,"y":0, "idloc":"e" },</v>
      </c>
    </row>
    <row r="25" spans="2:9" x14ac:dyDescent="0.25">
      <c r="E25" s="1">
        <f>Tabelle1423[[#This Row],[x]]-0</f>
        <v>0</v>
      </c>
      <c r="F25" s="1">
        <f>Tabelle1423[[#This Row],[y]]+0</f>
        <v>0</v>
      </c>
      <c r="G25" s="1">
        <f>Tabelle1423[[#This Row],[x2]]*$B$1</f>
        <v>0</v>
      </c>
      <c r="H25" s="1">
        <f>Tabelle1423[[#This Row],[y2]]*$B$1</f>
        <v>0</v>
      </c>
      <c r="I25" t="str" cm="1">
        <f t="array" ref="I25">toJson(Tabelle1423[[#This Row],[Punkte]],Tabelle1423[[#This Row],[x skaliert]],Tabelle1423[[#This Row],[y skaliert]],Tabelle1423[[#This Row],[Hide?]])</f>
        <v>{ "id" :"" ,"x":0,"y":0, "idloc":"e" },</v>
      </c>
    </row>
    <row r="26" spans="2:9" x14ac:dyDescent="0.25">
      <c r="E26" s="1">
        <f>Tabelle1423[[#This Row],[x]]-0</f>
        <v>0</v>
      </c>
      <c r="F26" s="1">
        <f>Tabelle1423[[#This Row],[y]]+0</f>
        <v>0</v>
      </c>
      <c r="G26" s="1">
        <f>Tabelle1423[[#This Row],[x2]]*$B$1</f>
        <v>0</v>
      </c>
      <c r="H26" s="1">
        <f>Tabelle1423[[#This Row],[y2]]*$B$1</f>
        <v>0</v>
      </c>
      <c r="I26" t="str" cm="1">
        <f t="array" ref="I26">toJson(Tabelle1423[[#This Row],[Punkte]],Tabelle1423[[#This Row],[x skaliert]],Tabelle1423[[#This Row],[y skaliert]],Tabelle1423[[#This Row],[Hide?]])</f>
        <v>{ "id" :"" ,"x":0,"y":0, "idloc":"e"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2E30-11D4-44A3-A92C-A8835EAA2369}">
  <sheetPr codeName="Tabelle3"/>
  <dimension ref="A1:H2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3" width="13" customWidth="1"/>
    <col min="6" max="6" width="11.85546875" customWidth="1"/>
    <col min="7" max="7" width="12" customWidth="1"/>
    <col min="8" max="8" width="62" customWidth="1"/>
  </cols>
  <sheetData>
    <row r="1" spans="1:8" x14ac:dyDescent="0.25">
      <c r="A1" t="s">
        <v>11</v>
      </c>
      <c r="B1" s="1">
        <v>33</v>
      </c>
    </row>
    <row r="2" spans="1:8" x14ac:dyDescent="0.25">
      <c r="A2" t="s">
        <v>0</v>
      </c>
      <c r="B2" t="s">
        <v>1</v>
      </c>
      <c r="C2" t="s">
        <v>2</v>
      </c>
      <c r="D2" t="s">
        <v>14</v>
      </c>
      <c r="E2" t="s">
        <v>15</v>
      </c>
      <c r="F2" t="s">
        <v>12</v>
      </c>
      <c r="G2" t="s">
        <v>13</v>
      </c>
      <c r="H2" t="s">
        <v>9</v>
      </c>
    </row>
    <row r="3" spans="1:8" x14ac:dyDescent="0.25">
      <c r="A3" t="s">
        <v>3</v>
      </c>
      <c r="B3" s="3">
        <v>10.46</v>
      </c>
      <c r="C3" s="3">
        <v>18.3</v>
      </c>
      <c r="D3" s="1">
        <f>Tabelle14[[#This Row],[x]]-0</f>
        <v>10.46</v>
      </c>
      <c r="E3" s="1">
        <f>Tabelle14[[#This Row],[y]]+0</f>
        <v>18.3</v>
      </c>
      <c r="F3" s="2">
        <f>Tabelle14[[#This Row],[x2]]*$B$1</f>
        <v>345.18</v>
      </c>
      <c r="G3" s="2">
        <f>Tabelle14[[#This Row],[y2]]*$B$1</f>
        <v>603.9</v>
      </c>
      <c r="H3" t="str" cm="1">
        <f t="array" ref="H3">toJson(Tabelle14[[#This Row],[Punkte]],Tabelle14[[#This Row],[x skaliert]],Tabelle14[[#This Row],[y skaliert]])</f>
        <v>{ "id" :"A0" ,"x":345.18,"y":603.9,"base":true, "optic":"FG" , "idloc":"e" },</v>
      </c>
    </row>
    <row r="4" spans="1:8" x14ac:dyDescent="0.25">
      <c r="A4" t="s">
        <v>10</v>
      </c>
      <c r="B4" s="3">
        <v>11.79</v>
      </c>
      <c r="C4" s="3">
        <v>19.87</v>
      </c>
      <c r="D4" s="1">
        <f>Tabelle14[[#This Row],[x]]-0</f>
        <v>11.79</v>
      </c>
      <c r="E4" s="1">
        <f>Tabelle14[[#This Row],[y]]+0</f>
        <v>19.87</v>
      </c>
      <c r="F4" s="2">
        <f>Tabelle14[[#This Row],[x2]]*$B$1</f>
        <v>389.07</v>
      </c>
      <c r="G4" s="2">
        <f>Tabelle14[[#This Row],[y2]]*$B$1</f>
        <v>655.71</v>
      </c>
      <c r="H4" t="str" cm="1">
        <f t="array" ref="H4">toJson(Tabelle14[[#This Row],[Punkte]],Tabelle14[[#This Row],[x skaliert]],Tabelle14[[#This Row],[y skaliert]])</f>
        <v>{ "id" :"A" ,"x":389.07,"y":655.71, "idloc":"e" },</v>
      </c>
    </row>
    <row r="5" spans="1:8" x14ac:dyDescent="0.25">
      <c r="A5" t="s">
        <v>4</v>
      </c>
      <c r="B5" s="3">
        <v>2.95</v>
      </c>
      <c r="C5" s="3">
        <v>16.8</v>
      </c>
      <c r="D5" s="1">
        <f>Tabelle14[[#This Row],[x]]-0</f>
        <v>2.95</v>
      </c>
      <c r="E5" s="1">
        <f>Tabelle14[[#This Row],[y]]+0</f>
        <v>16.8</v>
      </c>
      <c r="F5" s="2">
        <f>Tabelle14[[#This Row],[x2]]*$B$1</f>
        <v>97.350000000000009</v>
      </c>
      <c r="G5" s="2">
        <f>Tabelle14[[#This Row],[y2]]*$B$1</f>
        <v>554.4</v>
      </c>
      <c r="H5" t="str" cm="1">
        <f t="array" ref="H5">toJson(Tabelle14[[#This Row],[Punkte]],Tabelle14[[#This Row],[x skaliert]],Tabelle14[[#This Row],[y skaliert]])</f>
        <v>{ "id" :"B0" ,"x":97.35,"y":554.4,"base":true, "optic":"FG" , "idloc":"e" },</v>
      </c>
    </row>
    <row r="6" spans="1:8" x14ac:dyDescent="0.25">
      <c r="A6" t="s">
        <v>8</v>
      </c>
      <c r="B6" s="3">
        <v>6.65</v>
      </c>
      <c r="C6" s="3">
        <v>20.25</v>
      </c>
      <c r="D6" s="1">
        <f>Tabelle14[[#This Row],[x]]-0</f>
        <v>6.65</v>
      </c>
      <c r="E6" s="1">
        <f>Tabelle14[[#This Row],[y]]+0</f>
        <v>20.25</v>
      </c>
      <c r="F6" s="2">
        <f>Tabelle14[[#This Row],[x2]]*$B$1</f>
        <v>219.45000000000002</v>
      </c>
      <c r="G6" s="2">
        <f>Tabelle14[[#This Row],[y2]]*$B$1</f>
        <v>668.25</v>
      </c>
      <c r="H6" t="str" cm="1">
        <f t="array" ref="H6">toJson(Tabelle14[[#This Row],[Punkte]],Tabelle14[[#This Row],[x skaliert]],Tabelle14[[#This Row],[y skaliert]])</f>
        <v>{ "id" :"B" ,"x":219.45,"y":668.25, "idloc":"e" },</v>
      </c>
    </row>
    <row r="7" spans="1:8" x14ac:dyDescent="0.25">
      <c r="A7" t="s">
        <v>5</v>
      </c>
      <c r="B7" s="3">
        <v>14.72</v>
      </c>
      <c r="C7" s="3">
        <v>16.36</v>
      </c>
      <c r="D7" s="1">
        <f>Tabelle14[[#This Row],[x]]-0</f>
        <v>14.72</v>
      </c>
      <c r="E7" s="1">
        <f>Tabelle14[[#This Row],[y]]+0</f>
        <v>16.36</v>
      </c>
      <c r="F7" s="2">
        <f>Tabelle14[[#This Row],[x2]]*$B$1</f>
        <v>485.76000000000005</v>
      </c>
      <c r="G7" s="2">
        <f>Tabelle14[[#This Row],[y2]]*$B$1</f>
        <v>539.88</v>
      </c>
      <c r="H7" t="str" cm="1">
        <f t="array" ref="H7">toJson(Tabelle14[[#This Row],[Punkte]],Tabelle14[[#This Row],[x skaliert]],Tabelle14[[#This Row],[y skaliert]])</f>
        <v>{ "id" :"C" ,"x":485.76,"y":539.88, "idloc":"e" },</v>
      </c>
    </row>
    <row r="8" spans="1:8" x14ac:dyDescent="0.25">
      <c r="A8" t="s">
        <v>6</v>
      </c>
      <c r="B8" s="3">
        <v>10.61</v>
      </c>
      <c r="C8" s="3">
        <v>10.9</v>
      </c>
      <c r="D8" s="1">
        <f>Tabelle14[[#This Row],[x]]-0</f>
        <v>10.61</v>
      </c>
      <c r="E8" s="1">
        <f>Tabelle14[[#This Row],[y]]+0</f>
        <v>10.9</v>
      </c>
      <c r="F8" s="2">
        <f>Tabelle14[[#This Row],[x2]]*$B$1</f>
        <v>350.13</v>
      </c>
      <c r="G8" s="2">
        <f>Tabelle14[[#This Row],[y2]]*$B$1</f>
        <v>359.7</v>
      </c>
      <c r="H8" t="str" cm="1">
        <f t="array" ref="H8">toJson(Tabelle14[[#This Row],[Punkte]],Tabelle14[[#This Row],[x skaliert]],Tabelle14[[#This Row],[y skaliert]])</f>
        <v>{ "id" :"D" ,"x":350.13,"y":359.7, "idloc":"e" },</v>
      </c>
    </row>
    <row r="9" spans="1:8" x14ac:dyDescent="0.25">
      <c r="A9" t="s">
        <v>7</v>
      </c>
      <c r="B9" s="3">
        <v>10.61</v>
      </c>
      <c r="C9" s="3">
        <v>11</v>
      </c>
      <c r="D9" s="1">
        <f>Tabelle14[[#This Row],[x]]-0</f>
        <v>10.61</v>
      </c>
      <c r="E9" s="1">
        <f>Tabelle14[[#This Row],[y]]+0</f>
        <v>11</v>
      </c>
      <c r="F9" s="2">
        <f>Tabelle14[[#This Row],[x2]]*$B$1</f>
        <v>350.13</v>
      </c>
      <c r="G9" s="2">
        <f>Tabelle14[[#This Row],[y2]]*$B$1</f>
        <v>363</v>
      </c>
      <c r="H9" t="str" cm="1">
        <f t="array" ref="H9">toJson(Tabelle14[[#This Row],[Punkte]],Tabelle14[[#This Row],[x skaliert]],Tabelle14[[#This Row],[y skaliert]])</f>
        <v>{ "id" :"D0" ,"x":350.13,"y":363,"base":true, "optic":"FG" , "idloc":"e" },</v>
      </c>
    </row>
    <row r="10" spans="1:8" x14ac:dyDescent="0.25">
      <c r="B10" s="1"/>
      <c r="C10" s="1"/>
      <c r="D10" s="1">
        <f>Tabelle14[[#This Row],[x]]-0</f>
        <v>0</v>
      </c>
      <c r="E10" s="1">
        <f>Tabelle14[[#This Row],[y]]+0</f>
        <v>0</v>
      </c>
      <c r="F10" s="1">
        <f>Tabelle14[[#This Row],[x2]]*$B$1</f>
        <v>0</v>
      </c>
      <c r="G10" s="1">
        <f>Tabelle14[[#This Row],[y2]]*$B$1</f>
        <v>0</v>
      </c>
      <c r="H10" t="str" cm="1">
        <f t="array" ref="H10">toJson(Tabelle14[[#This Row],[Punkte]],Tabelle14[[#This Row],[x skaliert]],Tabelle14[[#This Row],[y skaliert]])</f>
        <v>{ "id" :"" ,"x":0,"y":0, "idloc":"e" },</v>
      </c>
    </row>
    <row r="11" spans="1:8" x14ac:dyDescent="0.25">
      <c r="B11" s="1"/>
      <c r="C11" s="1"/>
      <c r="D11" s="1">
        <f>Tabelle14[[#This Row],[x]]-0</f>
        <v>0</v>
      </c>
      <c r="E11" s="1">
        <f>Tabelle14[[#This Row],[y]]+0</f>
        <v>0</v>
      </c>
      <c r="F11" s="1">
        <f>Tabelle14[[#This Row],[x2]]*$B$1</f>
        <v>0</v>
      </c>
      <c r="G11" s="1">
        <f>Tabelle14[[#This Row],[y2]]*$B$1</f>
        <v>0</v>
      </c>
      <c r="H11" t="str" cm="1">
        <f t="array" ref="H11">toJson(Tabelle14[[#This Row],[Punkte]],Tabelle14[[#This Row],[x skaliert]],Tabelle14[[#This Row],[y skaliert]])</f>
        <v>{ "id" :"" ,"x":0,"y":0, "idloc":"e" },</v>
      </c>
    </row>
    <row r="12" spans="1:8" x14ac:dyDescent="0.25">
      <c r="B12" s="1"/>
      <c r="C12" s="1"/>
      <c r="D12" s="1">
        <f>Tabelle14[[#This Row],[x]]-0</f>
        <v>0</v>
      </c>
      <c r="E12" s="1">
        <f>Tabelle14[[#This Row],[y]]+0</f>
        <v>0</v>
      </c>
      <c r="F12" s="1">
        <f>Tabelle14[[#This Row],[x2]]*$B$1</f>
        <v>0</v>
      </c>
      <c r="G12" s="1">
        <f>Tabelle14[[#This Row],[y2]]*$B$1</f>
        <v>0</v>
      </c>
      <c r="H12" t="str" cm="1">
        <f t="array" ref="H12">toJson(Tabelle14[[#This Row],[Punkte]],Tabelle14[[#This Row],[x skaliert]],Tabelle14[[#This Row],[y skaliert]])</f>
        <v>{ "id" :"" ,"x":0,"y":0, "idloc":"e" },</v>
      </c>
    </row>
    <row r="13" spans="1:8" x14ac:dyDescent="0.25">
      <c r="B13" s="1"/>
      <c r="C13" s="1"/>
      <c r="D13" s="1">
        <f>Tabelle14[[#This Row],[x]]-0</f>
        <v>0</v>
      </c>
      <c r="E13" s="1">
        <f>Tabelle14[[#This Row],[y]]+0</f>
        <v>0</v>
      </c>
      <c r="F13" s="1">
        <f>Tabelle14[[#This Row],[x2]]*$B$1</f>
        <v>0</v>
      </c>
      <c r="G13" s="1">
        <f>Tabelle14[[#This Row],[y2]]*$B$1</f>
        <v>0</v>
      </c>
      <c r="H13" t="str" cm="1">
        <f t="array" ref="H13">toJson(Tabelle14[[#This Row],[Punkte]],Tabelle14[[#This Row],[x skaliert]],Tabelle14[[#This Row],[y skaliert]])</f>
        <v>{ "id" :"" ,"x":0,"y":0, "idloc":"e" },</v>
      </c>
    </row>
    <row r="14" spans="1:8" x14ac:dyDescent="0.25">
      <c r="B14" s="1"/>
      <c r="C14" s="1"/>
      <c r="D14" s="1">
        <f>Tabelle14[[#This Row],[x]]-0</f>
        <v>0</v>
      </c>
      <c r="E14" s="1">
        <f>Tabelle14[[#This Row],[y]]+0</f>
        <v>0</v>
      </c>
      <c r="F14" s="1">
        <f>Tabelle14[[#This Row],[x2]]*$B$1</f>
        <v>0</v>
      </c>
      <c r="G14" s="1">
        <f>Tabelle14[[#This Row],[y2]]*$B$1</f>
        <v>0</v>
      </c>
      <c r="H14" t="str" cm="1">
        <f t="array" ref="H14">toJson(Tabelle14[[#This Row],[Punkte]],Tabelle14[[#This Row],[x skaliert]],Tabelle14[[#This Row],[y skaliert]])</f>
        <v>{ "id" :"" ,"x":0,"y":0, "idloc":"e" },</v>
      </c>
    </row>
    <row r="15" spans="1:8" x14ac:dyDescent="0.25">
      <c r="B15" s="1"/>
      <c r="C15" s="1"/>
      <c r="D15" s="1">
        <f>Tabelle14[[#This Row],[x]]-0</f>
        <v>0</v>
      </c>
      <c r="E15" s="1">
        <f>Tabelle14[[#This Row],[y]]+0</f>
        <v>0</v>
      </c>
      <c r="F15" s="1">
        <f>Tabelle14[[#This Row],[x2]]*$B$1</f>
        <v>0</v>
      </c>
      <c r="G15" s="1">
        <f>Tabelle14[[#This Row],[y2]]*$B$1</f>
        <v>0</v>
      </c>
      <c r="H15" t="str" cm="1">
        <f t="array" ref="H15">toJson(Tabelle14[[#This Row],[Punkte]],Tabelle14[[#This Row],[x skaliert]],Tabelle14[[#This Row],[y skaliert]])</f>
        <v>{ "id" :"" ,"x":0,"y":0, "idloc":"e" },</v>
      </c>
    </row>
    <row r="16" spans="1:8" x14ac:dyDescent="0.25">
      <c r="B16" s="1"/>
      <c r="C16" s="1"/>
      <c r="D16" s="1">
        <f>Tabelle14[[#This Row],[x]]-0</f>
        <v>0</v>
      </c>
      <c r="E16" s="1">
        <f>Tabelle14[[#This Row],[y]]+0</f>
        <v>0</v>
      </c>
      <c r="F16" s="1">
        <f>Tabelle14[[#This Row],[x2]]*$B$1</f>
        <v>0</v>
      </c>
      <c r="G16" s="1">
        <f>Tabelle14[[#This Row],[y2]]*$B$1</f>
        <v>0</v>
      </c>
      <c r="H16" t="str" cm="1">
        <f t="array" ref="H16">toJson(Tabelle14[[#This Row],[Punkte]],Tabelle14[[#This Row],[x skaliert]],Tabelle14[[#This Row],[y skaliert]])</f>
        <v>{ "id" :"" ,"x":0,"y":0, "idloc":"e" },</v>
      </c>
    </row>
    <row r="17" spans="2:8" x14ac:dyDescent="0.25">
      <c r="B17" s="1"/>
      <c r="C17" s="1"/>
      <c r="D17" s="1">
        <f>Tabelle14[[#This Row],[x]]-0</f>
        <v>0</v>
      </c>
      <c r="E17" s="1">
        <f>Tabelle14[[#This Row],[y]]+0</f>
        <v>0</v>
      </c>
      <c r="F17" s="1">
        <f>Tabelle14[[#This Row],[x2]]*$B$1</f>
        <v>0</v>
      </c>
      <c r="G17" s="1">
        <f>Tabelle14[[#This Row],[y2]]*$B$1</f>
        <v>0</v>
      </c>
      <c r="H17" t="str" cm="1">
        <f t="array" ref="H17">toJson(Tabelle14[[#This Row],[Punkte]],Tabelle14[[#This Row],[x skaliert]],Tabelle14[[#This Row],[y skaliert]])</f>
        <v>{ "id" :"" ,"x":0,"y":0, "idloc":"e" },</v>
      </c>
    </row>
    <row r="18" spans="2:8" x14ac:dyDescent="0.25">
      <c r="D18" s="1">
        <f>Tabelle14[[#This Row],[x]]-0</f>
        <v>0</v>
      </c>
      <c r="E18" s="1">
        <f>Tabelle14[[#This Row],[y]]+0</f>
        <v>0</v>
      </c>
      <c r="F18" s="1">
        <f>Tabelle14[[#This Row],[x2]]*$B$1</f>
        <v>0</v>
      </c>
      <c r="G18" s="1">
        <f>Tabelle14[[#This Row],[y2]]*$B$1</f>
        <v>0</v>
      </c>
      <c r="H18" t="str" cm="1">
        <f t="array" ref="H18">toJson(Tabelle14[[#This Row],[Punkte]],Tabelle14[[#This Row],[x skaliert]],Tabelle14[[#This Row],[y skaliert]])</f>
        <v>{ "id" :"" ,"x":0,"y":0, "idloc":"e" },</v>
      </c>
    </row>
    <row r="19" spans="2:8" x14ac:dyDescent="0.25">
      <c r="D19" s="1">
        <f>Tabelle14[[#This Row],[x]]-0</f>
        <v>0</v>
      </c>
      <c r="E19" s="1">
        <f>Tabelle14[[#This Row],[y]]+0</f>
        <v>0</v>
      </c>
      <c r="F19" s="1">
        <f>Tabelle14[[#This Row],[x2]]*$B$1</f>
        <v>0</v>
      </c>
      <c r="G19" s="1">
        <f>Tabelle14[[#This Row],[y2]]*$B$1</f>
        <v>0</v>
      </c>
      <c r="H19" t="str" cm="1">
        <f t="array" ref="H19">toJson(Tabelle14[[#This Row],[Punkte]],Tabelle14[[#This Row],[x skaliert]],Tabelle14[[#This Row],[y skaliert]])</f>
        <v>{ "id" :"" ,"x":0,"y":0, "idloc":"e" },</v>
      </c>
    </row>
    <row r="20" spans="2:8" x14ac:dyDescent="0.25">
      <c r="D20" s="1">
        <f>Tabelle14[[#This Row],[x]]-0</f>
        <v>0</v>
      </c>
      <c r="E20" s="1">
        <f>Tabelle14[[#This Row],[y]]+0</f>
        <v>0</v>
      </c>
      <c r="F20" s="1">
        <f>Tabelle14[[#This Row],[x2]]*$B$1</f>
        <v>0</v>
      </c>
      <c r="G20" s="1">
        <f>Tabelle14[[#This Row],[y2]]*$B$1</f>
        <v>0</v>
      </c>
      <c r="H20" t="str" cm="1">
        <f t="array" ref="H20">toJson(Tabelle14[[#This Row],[Punkte]],Tabelle14[[#This Row],[x skaliert]],Tabelle14[[#This Row],[y skaliert]])</f>
        <v>{ "id" :"" ,"x":0,"y":0, "idloc":"e" },</v>
      </c>
    </row>
    <row r="21" spans="2:8" x14ac:dyDescent="0.25">
      <c r="D21" s="1">
        <f>Tabelle14[[#This Row],[x]]-0</f>
        <v>0</v>
      </c>
      <c r="E21" s="1">
        <f>Tabelle14[[#This Row],[y]]+0</f>
        <v>0</v>
      </c>
      <c r="F21" s="1">
        <f>Tabelle14[[#This Row],[x2]]*$B$1</f>
        <v>0</v>
      </c>
      <c r="G21" s="1">
        <f>Tabelle14[[#This Row],[y2]]*$B$1</f>
        <v>0</v>
      </c>
      <c r="H21" t="str" cm="1">
        <f t="array" ref="H21">toJson(Tabelle14[[#This Row],[Punkte]],Tabelle14[[#This Row],[x skaliert]],Tabelle14[[#This Row],[y skaliert]])</f>
        <v>{ "id" :"" ,"x":0,"y":0, "idloc":"e" },</v>
      </c>
    </row>
    <row r="22" spans="2:8" x14ac:dyDescent="0.25">
      <c r="D22" s="1">
        <f>Tabelle14[[#This Row],[x]]-0</f>
        <v>0</v>
      </c>
      <c r="E22" s="1">
        <f>Tabelle14[[#This Row],[y]]+0</f>
        <v>0</v>
      </c>
      <c r="F22" s="1">
        <f>Tabelle14[[#This Row],[x2]]*$B$1</f>
        <v>0</v>
      </c>
      <c r="G22" s="1">
        <f>Tabelle14[[#This Row],[y2]]*$B$1</f>
        <v>0</v>
      </c>
      <c r="H22" t="str" cm="1">
        <f t="array" ref="H22">toJson(Tabelle14[[#This Row],[Punkte]],Tabelle14[[#This Row],[x skaliert]],Tabelle14[[#This Row],[y skaliert]])</f>
        <v>{ "id" :"" ,"x":0,"y":0, "idloc":"e" },</v>
      </c>
    </row>
    <row r="23" spans="2:8" x14ac:dyDescent="0.25">
      <c r="D23" s="1">
        <f>Tabelle14[[#This Row],[x]]-0</f>
        <v>0</v>
      </c>
      <c r="E23" s="1">
        <f>Tabelle14[[#This Row],[y]]+0</f>
        <v>0</v>
      </c>
      <c r="F23" s="1">
        <f>Tabelle14[[#This Row],[x2]]*$B$1</f>
        <v>0</v>
      </c>
      <c r="G23" s="1">
        <f>Tabelle14[[#This Row],[y2]]*$B$1</f>
        <v>0</v>
      </c>
      <c r="H23" t="str" cm="1">
        <f t="array" ref="H23">toJson(Tabelle14[[#This Row],[Punkte]],Tabelle14[[#This Row],[x skaliert]],Tabelle14[[#This Row],[y skaliert]])</f>
        <v>{ "id" :"" ,"x":0,"y":0, "idloc":"e" },</v>
      </c>
    </row>
    <row r="24" spans="2:8" x14ac:dyDescent="0.25">
      <c r="D24" s="1">
        <f>Tabelle14[[#This Row],[x]]-0</f>
        <v>0</v>
      </c>
      <c r="E24" s="1">
        <f>Tabelle14[[#This Row],[y]]+0</f>
        <v>0</v>
      </c>
      <c r="F24" s="1">
        <f>Tabelle14[[#This Row],[x2]]*$B$1</f>
        <v>0</v>
      </c>
      <c r="G24" s="1">
        <f>Tabelle14[[#This Row],[y2]]*$B$1</f>
        <v>0</v>
      </c>
      <c r="H24" t="str" cm="1">
        <f t="array" ref="H24">toJson(Tabelle14[[#This Row],[Punkte]],Tabelle14[[#This Row],[x skaliert]],Tabelle14[[#This Row],[y skaliert]])</f>
        <v>{ "id" :"" ,"x":0,"y":0, "idloc":"e" },</v>
      </c>
    </row>
    <row r="25" spans="2:8" x14ac:dyDescent="0.25">
      <c r="D25" s="1">
        <f>Tabelle14[[#This Row],[x]]-0</f>
        <v>0</v>
      </c>
      <c r="E25" s="1">
        <f>Tabelle14[[#This Row],[y]]+0</f>
        <v>0</v>
      </c>
      <c r="F25" s="1">
        <f>Tabelle14[[#This Row],[x2]]*$B$1</f>
        <v>0</v>
      </c>
      <c r="G25" s="1">
        <f>Tabelle14[[#This Row],[y2]]*$B$1</f>
        <v>0</v>
      </c>
      <c r="H25" t="str" cm="1">
        <f t="array" ref="H25">toJson(Tabelle14[[#This Row],[Punkte]],Tabelle14[[#This Row],[x skaliert]],Tabelle14[[#This Row],[y skaliert]])</f>
        <v>{ "id" :"" ,"x":0,"y":0, "idloc":"e"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9310-1921-4FB1-A72A-95A2A5FB49A1}">
  <sheetPr codeName="Tabelle4"/>
  <dimension ref="A1:I26"/>
  <sheetViews>
    <sheetView workbookViewId="0">
      <selection activeCell="D12" sqref="D12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4" width="13" customWidth="1"/>
    <col min="7" max="7" width="11.85546875" customWidth="1"/>
    <col min="8" max="8" width="12" customWidth="1"/>
    <col min="9" max="9" width="62" customWidth="1"/>
  </cols>
  <sheetData>
    <row r="1" spans="1:9" x14ac:dyDescent="0.25">
      <c r="A1" t="s">
        <v>11</v>
      </c>
      <c r="B1" s="1">
        <v>2</v>
      </c>
    </row>
    <row r="2" spans="1:9" x14ac:dyDescent="0.25">
      <c r="A2" t="s">
        <v>0</v>
      </c>
      <c r="B2" t="s">
        <v>1</v>
      </c>
      <c r="C2" t="s">
        <v>2</v>
      </c>
      <c r="D2" t="s">
        <v>17</v>
      </c>
      <c r="E2" t="s">
        <v>14</v>
      </c>
      <c r="F2" t="s">
        <v>15</v>
      </c>
      <c r="G2" t="s">
        <v>12</v>
      </c>
      <c r="H2" t="s">
        <v>13</v>
      </c>
      <c r="I2" t="s">
        <v>9</v>
      </c>
    </row>
    <row r="3" spans="1:9" x14ac:dyDescent="0.25">
      <c r="A3" t="s">
        <v>3</v>
      </c>
      <c r="B3" s="3">
        <v>195.02030999999999</v>
      </c>
      <c r="C3" s="3">
        <v>157.03032999999999</v>
      </c>
      <c r="D3" s="3"/>
      <c r="E3" s="1">
        <f>Tabelle142[[#This Row],[x]]-0</f>
        <v>195.02030999999999</v>
      </c>
      <c r="F3" s="1">
        <f>Tabelle142[[#This Row],[y]]+0</f>
        <v>157.03032999999999</v>
      </c>
      <c r="G3" s="2">
        <f>Tabelle142[[#This Row],[x2]]*$B$1</f>
        <v>390.04061999999999</v>
      </c>
      <c r="H3" s="2">
        <f>Tabelle142[[#This Row],[y2]]*$B$1</f>
        <v>314.06065999999998</v>
      </c>
      <c r="I3" t="str" cm="1">
        <f t="array" ref="I3">toJson(Tabelle142[[#This Row],[Punkte]],Tabelle142[[#This Row],[x skaliert]],Tabelle142[[#This Row],[y skaliert]],Tabelle142[[#This Row],[Hide?]])</f>
        <v>{ "id" :"A0" ,"x":390.04062,"y":314.06066,"base":true, "optic":"FG" , "idloc":"e" },</v>
      </c>
    </row>
    <row r="4" spans="1:9" x14ac:dyDescent="0.25">
      <c r="A4" t="s">
        <v>10</v>
      </c>
      <c r="B4" s="3">
        <v>237.26134999999999</v>
      </c>
      <c r="C4" s="3">
        <v>217.4016</v>
      </c>
      <c r="D4" s="3"/>
      <c r="E4" s="1">
        <f>Tabelle142[[#This Row],[x]]-0</f>
        <v>237.26134999999999</v>
      </c>
      <c r="F4" s="1">
        <f>Tabelle142[[#This Row],[y]]+0</f>
        <v>217.4016</v>
      </c>
      <c r="G4" s="2">
        <f>Tabelle142[[#This Row],[x2]]*$B$1</f>
        <v>474.52269999999999</v>
      </c>
      <c r="H4" s="2">
        <f>Tabelle142[[#This Row],[y2]]*$B$1</f>
        <v>434.8032</v>
      </c>
      <c r="I4" t="str" cm="1">
        <f t="array" ref="I4">toJson(Tabelle142[[#This Row],[Punkte]],Tabelle142[[#This Row],[x skaliert]],Tabelle142[[#This Row],[y skaliert]],Tabelle142[[#This Row],[Hide?]])</f>
        <v>{ "id" :"A" ,"x":474.5227,"y":434.8032, "idloc":"e" },</v>
      </c>
    </row>
    <row r="5" spans="1:9" x14ac:dyDescent="0.25">
      <c r="A5" t="s">
        <v>4</v>
      </c>
      <c r="B5" s="3">
        <v>72.091139999999996</v>
      </c>
      <c r="C5" s="3">
        <v>411.00662999999997</v>
      </c>
      <c r="D5" s="3" t="s">
        <v>1</v>
      </c>
      <c r="E5" s="1">
        <f>Tabelle142[[#This Row],[x]]-0</f>
        <v>72.091139999999996</v>
      </c>
      <c r="F5" s="1">
        <f>Tabelle142[[#This Row],[y]]+0</f>
        <v>411.00662999999997</v>
      </c>
      <c r="G5" s="2">
        <f>Tabelle142[[#This Row],[x2]]*$B$1</f>
        <v>144.18227999999999</v>
      </c>
      <c r="H5" s="2">
        <f>Tabelle142[[#This Row],[y2]]*$B$1</f>
        <v>822.01325999999995</v>
      </c>
      <c r="I5" s="4" t="str" cm="1">
        <f t="array" ref="I5">toJson(Tabelle142[[#This Row],[Punkte]],Tabelle142[[#This Row],[x skaliert]],Tabelle142[[#This Row],[y skaliert]],Tabelle142[[#This Row],[Hide?]])</f>
        <v>{ "id" :"B0" ,"x":144.18228,"y":822.01326,"base":true, "optic":"FG" , "hid":"true" , "idloc":"e" },</v>
      </c>
    </row>
    <row r="6" spans="1:9" x14ac:dyDescent="0.25">
      <c r="A6" t="s">
        <v>8</v>
      </c>
      <c r="B6" s="3">
        <v>100</v>
      </c>
      <c r="C6" s="3">
        <v>350</v>
      </c>
      <c r="D6" s="3"/>
      <c r="E6" s="1">
        <f>Tabelle142[[#This Row],[x]]-0</f>
        <v>100</v>
      </c>
      <c r="F6" s="1">
        <f>Tabelle142[[#This Row],[y]]+0</f>
        <v>350</v>
      </c>
      <c r="G6" s="2">
        <f>Tabelle142[[#This Row],[x2]]*$B$1</f>
        <v>200</v>
      </c>
      <c r="H6" s="2">
        <f>Tabelle142[[#This Row],[y2]]*$B$1</f>
        <v>700</v>
      </c>
      <c r="I6" t="str" cm="1">
        <f t="array" ref="I6">toJson(Tabelle142[[#This Row],[Punkte]],Tabelle142[[#This Row],[x skaliert]],Tabelle142[[#This Row],[y skaliert]],Tabelle142[[#This Row],[Hide?]])</f>
        <v>{ "id" :"B" ,"x":200,"y":700, "idloc":"e" },</v>
      </c>
    </row>
    <row r="7" spans="1:9" hidden="1" x14ac:dyDescent="0.25">
      <c r="A7" t="s">
        <v>16</v>
      </c>
      <c r="B7" s="3">
        <v>155.59020000000001</v>
      </c>
      <c r="C7" s="3">
        <v>234.73084</v>
      </c>
      <c r="D7" s="3" t="s">
        <v>1</v>
      </c>
      <c r="E7" s="1">
        <f>Tabelle142[[#This Row],[x]]-0</f>
        <v>155.59020000000001</v>
      </c>
      <c r="F7" s="1">
        <f>Tabelle142[[#This Row],[y]]+0</f>
        <v>234.73084</v>
      </c>
      <c r="G7" s="2">
        <f>Tabelle142[[#This Row],[x2]]*$B$1</f>
        <v>311.18040000000002</v>
      </c>
      <c r="H7" s="2">
        <f>Tabelle142[[#This Row],[y2]]*$B$1</f>
        <v>469.46168</v>
      </c>
      <c r="I7" s="4" t="str" cm="1">
        <f t="array" ref="I7">toJson(Tabelle142[[#This Row],[Punkte]],Tabelle142[[#This Row],[x skaliert]],Tabelle142[[#This Row],[y skaliert]],Tabelle142[[#This Row],[Hide?]])</f>
        <v>{ "id" :"B02" ,"x":311.1804,"y":469.46168,"base":true, "optic":"FG" , "hid":"true" , "idloc":"e" },</v>
      </c>
    </row>
    <row r="8" spans="1:9" x14ac:dyDescent="0.25">
      <c r="A8" t="s">
        <v>5</v>
      </c>
      <c r="B8" s="3">
        <v>197.9863</v>
      </c>
      <c r="C8" s="3">
        <v>290.64371</v>
      </c>
      <c r="D8" s="3"/>
      <c r="E8" s="1">
        <f>Tabelle142[[#This Row],[x]]-0</f>
        <v>197.9863</v>
      </c>
      <c r="F8" s="1">
        <f>Tabelle142[[#This Row],[y]]+0</f>
        <v>290.64371</v>
      </c>
      <c r="G8" s="2">
        <f>Tabelle142[[#This Row],[x2]]*$B$1</f>
        <v>395.9726</v>
      </c>
      <c r="H8" s="2">
        <f>Tabelle142[[#This Row],[y2]]*$B$1</f>
        <v>581.28742</v>
      </c>
      <c r="I8" t="str" cm="1">
        <f t="array" ref="I8">toJson(Tabelle142[[#This Row],[Punkte]],Tabelle142[[#This Row],[x skaliert]],Tabelle142[[#This Row],[y skaliert]],Tabelle142[[#This Row],[Hide?]])</f>
        <v>{ "id" :"C" ,"x":395.9726,"y":581.28742, "idloc":"e" },</v>
      </c>
    </row>
    <row r="9" spans="1:9" x14ac:dyDescent="0.25">
      <c r="A9" t="s">
        <v>6</v>
      </c>
      <c r="B9" s="3">
        <v>296.70643999999999</v>
      </c>
      <c r="C9" s="3">
        <v>366.00934000000001</v>
      </c>
      <c r="D9" s="3"/>
      <c r="E9" s="1">
        <f>Tabelle142[[#This Row],[x]]-0</f>
        <v>296.70643999999999</v>
      </c>
      <c r="F9" s="1">
        <f>Tabelle142[[#This Row],[y]]+0</f>
        <v>366.00934000000001</v>
      </c>
      <c r="G9" s="2">
        <f>Tabelle142[[#This Row],[x2]]*$B$1</f>
        <v>593.41287999999997</v>
      </c>
      <c r="H9" s="2">
        <f>Tabelle142[[#This Row],[y2]]*$B$1</f>
        <v>732.01868000000002</v>
      </c>
      <c r="I9" t="str" cm="1">
        <f t="array" ref="I9">toJson(Tabelle142[[#This Row],[Punkte]],Tabelle142[[#This Row],[x skaliert]],Tabelle142[[#This Row],[y skaliert]],Tabelle142[[#This Row],[Hide?]])</f>
        <v>{ "id" :"D" ,"x":593.41288,"y":732.01868, "idloc":"e" },</v>
      </c>
    </row>
    <row r="10" spans="1:9" x14ac:dyDescent="0.25">
      <c r="A10" t="s">
        <v>7</v>
      </c>
      <c r="B10" s="3">
        <v>318.52933000000002</v>
      </c>
      <c r="C10" s="3">
        <v>412.74619000000001</v>
      </c>
      <c r="D10" s="3" t="s">
        <v>1</v>
      </c>
      <c r="E10" s="1">
        <f>Tabelle142[[#This Row],[x]]-0</f>
        <v>318.52933000000002</v>
      </c>
      <c r="F10" s="1">
        <f>Tabelle142[[#This Row],[y]]+0</f>
        <v>412.74619000000001</v>
      </c>
      <c r="G10" s="2">
        <f>Tabelle142[[#This Row],[x2]]*$B$1</f>
        <v>637.05866000000003</v>
      </c>
      <c r="H10" s="2">
        <f>Tabelle142[[#This Row],[y2]]*$B$1</f>
        <v>825.49238000000003</v>
      </c>
      <c r="I10" t="str" cm="1">
        <f t="array" ref="I10">toJson(Tabelle142[[#This Row],[Punkte]],Tabelle142[[#This Row],[x skaliert]],Tabelle142[[#This Row],[y skaliert]],Tabelle142[[#This Row],[Hide?]])</f>
        <v>{ "id" :"D0" ,"x":637.05866,"y":825.49238,"base":true, "optic":"FG" , "hid":"true" , "idloc":"e" },</v>
      </c>
    </row>
    <row r="11" spans="1:9" x14ac:dyDescent="0.25">
      <c r="B11" s="1"/>
      <c r="C11" s="1"/>
      <c r="D11" s="1"/>
      <c r="E11" s="1">
        <f>Tabelle142[[#This Row],[x]]-0</f>
        <v>0</v>
      </c>
      <c r="F11" s="1">
        <f>Tabelle142[[#This Row],[y]]+0</f>
        <v>0</v>
      </c>
      <c r="G11" s="1">
        <f>Tabelle142[[#This Row],[x2]]*$B$1</f>
        <v>0</v>
      </c>
      <c r="H11" s="1">
        <f>Tabelle142[[#This Row],[y2]]*$B$1</f>
        <v>0</v>
      </c>
      <c r="I11" t="str" cm="1">
        <f t="array" ref="I11">toJson(Tabelle142[[#This Row],[Punkte]],Tabelle142[[#This Row],[x skaliert]],Tabelle142[[#This Row],[y skaliert]],Tabelle142[[#This Row],[Hide?]])</f>
        <v>{ "id" :"" ,"x":0,"y":0, "idloc":"e" },</v>
      </c>
    </row>
    <row r="12" spans="1:9" x14ac:dyDescent="0.25">
      <c r="B12" s="1"/>
      <c r="C12" s="1"/>
      <c r="D12" s="1"/>
      <c r="E12" s="1">
        <f>Tabelle142[[#This Row],[x]]-0</f>
        <v>0</v>
      </c>
      <c r="F12" s="1">
        <f>Tabelle142[[#This Row],[y]]+0</f>
        <v>0</v>
      </c>
      <c r="G12" s="1">
        <f>Tabelle142[[#This Row],[x2]]*$B$1</f>
        <v>0</v>
      </c>
      <c r="H12" s="1">
        <f>Tabelle142[[#This Row],[y2]]*$B$1</f>
        <v>0</v>
      </c>
      <c r="I12" t="str" cm="1">
        <f t="array" ref="I12">toJson(Tabelle142[[#This Row],[Punkte]],Tabelle142[[#This Row],[x skaliert]],Tabelle142[[#This Row],[y skaliert]],Tabelle142[[#This Row],[Hide?]])</f>
        <v>{ "id" :"" ,"x":0,"y":0, "idloc":"e" },</v>
      </c>
    </row>
    <row r="13" spans="1:9" x14ac:dyDescent="0.25">
      <c r="B13" s="1"/>
      <c r="C13" s="1"/>
      <c r="D13" s="1"/>
      <c r="E13" s="1">
        <f>Tabelle142[[#This Row],[x]]-0</f>
        <v>0</v>
      </c>
      <c r="F13" s="1">
        <f>Tabelle142[[#This Row],[y]]+0</f>
        <v>0</v>
      </c>
      <c r="G13" s="1">
        <f>Tabelle142[[#This Row],[x2]]*$B$1</f>
        <v>0</v>
      </c>
      <c r="H13" s="1">
        <f>Tabelle142[[#This Row],[y2]]*$B$1</f>
        <v>0</v>
      </c>
      <c r="I13" t="str" cm="1">
        <f t="array" ref="I13">toJson(Tabelle142[[#This Row],[Punkte]],Tabelle142[[#This Row],[x skaliert]],Tabelle142[[#This Row],[y skaliert]],Tabelle142[[#This Row],[Hide?]])</f>
        <v>{ "id" :"" ,"x":0,"y":0, "idloc":"e" },</v>
      </c>
    </row>
    <row r="14" spans="1:9" x14ac:dyDescent="0.25">
      <c r="B14" s="1"/>
      <c r="C14" s="1"/>
      <c r="D14" s="1"/>
      <c r="E14" s="1">
        <f>Tabelle142[[#This Row],[x]]-0</f>
        <v>0</v>
      </c>
      <c r="F14" s="1">
        <f>Tabelle142[[#This Row],[y]]+0</f>
        <v>0</v>
      </c>
      <c r="G14" s="1">
        <f>Tabelle142[[#This Row],[x2]]*$B$1</f>
        <v>0</v>
      </c>
      <c r="H14" s="1">
        <f>Tabelle142[[#This Row],[y2]]*$B$1</f>
        <v>0</v>
      </c>
      <c r="I14" t="str" cm="1">
        <f t="array" ref="I14">toJson(Tabelle142[[#This Row],[Punkte]],Tabelle142[[#This Row],[x skaliert]],Tabelle142[[#This Row],[y skaliert]],Tabelle142[[#This Row],[Hide?]])</f>
        <v>{ "id" :"" ,"x":0,"y":0, "idloc":"e" },</v>
      </c>
    </row>
    <row r="15" spans="1:9" x14ac:dyDescent="0.25">
      <c r="B15" s="1"/>
      <c r="C15" s="1"/>
      <c r="D15" s="1"/>
      <c r="E15" s="1">
        <f>Tabelle142[[#This Row],[x]]-0</f>
        <v>0</v>
      </c>
      <c r="F15" s="1">
        <f>Tabelle142[[#This Row],[y]]+0</f>
        <v>0</v>
      </c>
      <c r="G15" s="1">
        <f>Tabelle142[[#This Row],[x2]]*$B$1</f>
        <v>0</v>
      </c>
      <c r="H15" s="1">
        <f>Tabelle142[[#This Row],[y2]]*$B$1</f>
        <v>0</v>
      </c>
      <c r="I15" t="str" cm="1">
        <f t="array" ref="I15">toJson(Tabelle142[[#This Row],[Punkte]],Tabelle142[[#This Row],[x skaliert]],Tabelle142[[#This Row],[y skaliert]],Tabelle142[[#This Row],[Hide?]])</f>
        <v>{ "id" :"" ,"x":0,"y":0, "idloc":"e" },</v>
      </c>
    </row>
    <row r="16" spans="1:9" x14ac:dyDescent="0.25">
      <c r="B16" s="1"/>
      <c r="C16" s="1"/>
      <c r="D16" s="1"/>
      <c r="E16" s="1">
        <f>Tabelle142[[#This Row],[x]]-0</f>
        <v>0</v>
      </c>
      <c r="F16" s="1">
        <f>Tabelle142[[#This Row],[y]]+0</f>
        <v>0</v>
      </c>
      <c r="G16" s="1">
        <f>Tabelle142[[#This Row],[x2]]*$B$1</f>
        <v>0</v>
      </c>
      <c r="H16" s="1">
        <f>Tabelle142[[#This Row],[y2]]*$B$1</f>
        <v>0</v>
      </c>
      <c r="I16" t="str" cm="1">
        <f t="array" ref="I16">toJson(Tabelle142[[#This Row],[Punkte]],Tabelle142[[#This Row],[x skaliert]],Tabelle142[[#This Row],[y skaliert]],Tabelle142[[#This Row],[Hide?]])</f>
        <v>{ "id" :"" ,"x":0,"y":0, "idloc":"e" },</v>
      </c>
    </row>
    <row r="17" spans="2:9" x14ac:dyDescent="0.25">
      <c r="B17" s="1"/>
      <c r="C17" s="1"/>
      <c r="D17" s="1"/>
      <c r="E17" s="1">
        <f>Tabelle142[[#This Row],[x]]-0</f>
        <v>0</v>
      </c>
      <c r="F17" s="1">
        <f>Tabelle142[[#This Row],[y]]+0</f>
        <v>0</v>
      </c>
      <c r="G17" s="1">
        <f>Tabelle142[[#This Row],[x2]]*$B$1</f>
        <v>0</v>
      </c>
      <c r="H17" s="1">
        <f>Tabelle142[[#This Row],[y2]]*$B$1</f>
        <v>0</v>
      </c>
      <c r="I17" t="str" cm="1">
        <f t="array" ref="I17">toJson(Tabelle142[[#This Row],[Punkte]],Tabelle142[[#This Row],[x skaliert]],Tabelle142[[#This Row],[y skaliert]],Tabelle142[[#This Row],[Hide?]])</f>
        <v>{ "id" :"" ,"x":0,"y":0, "idloc":"e" },</v>
      </c>
    </row>
    <row r="18" spans="2:9" x14ac:dyDescent="0.25">
      <c r="B18" s="1"/>
      <c r="C18" s="1"/>
      <c r="D18" s="1"/>
      <c r="E18" s="1">
        <f>Tabelle142[[#This Row],[x]]-0</f>
        <v>0</v>
      </c>
      <c r="F18" s="1">
        <f>Tabelle142[[#This Row],[y]]+0</f>
        <v>0</v>
      </c>
      <c r="G18" s="1">
        <f>Tabelle142[[#This Row],[x2]]*$B$1</f>
        <v>0</v>
      </c>
      <c r="H18" s="1">
        <f>Tabelle142[[#This Row],[y2]]*$B$1</f>
        <v>0</v>
      </c>
      <c r="I18" t="str" cm="1">
        <f t="array" ref="I18">toJson(Tabelle142[[#This Row],[Punkte]],Tabelle142[[#This Row],[x skaliert]],Tabelle142[[#This Row],[y skaliert]],Tabelle142[[#This Row],[Hide?]])</f>
        <v>{ "id" :"" ,"x":0,"y":0, "idloc":"e" },</v>
      </c>
    </row>
    <row r="19" spans="2:9" x14ac:dyDescent="0.25">
      <c r="E19" s="1">
        <f>Tabelle142[[#This Row],[x]]-0</f>
        <v>0</v>
      </c>
      <c r="F19" s="1">
        <f>Tabelle142[[#This Row],[y]]+0</f>
        <v>0</v>
      </c>
      <c r="G19" s="1">
        <f>Tabelle142[[#This Row],[x2]]*$B$1</f>
        <v>0</v>
      </c>
      <c r="H19" s="1">
        <f>Tabelle142[[#This Row],[y2]]*$B$1</f>
        <v>0</v>
      </c>
      <c r="I19" t="str" cm="1">
        <f t="array" ref="I19">toJson(Tabelle142[[#This Row],[Punkte]],Tabelle142[[#This Row],[x skaliert]],Tabelle142[[#This Row],[y skaliert]],Tabelle142[[#This Row],[Hide?]])</f>
        <v>{ "id" :"" ,"x":0,"y":0, "idloc":"e" },</v>
      </c>
    </row>
    <row r="20" spans="2:9" x14ac:dyDescent="0.25">
      <c r="E20" s="1">
        <f>Tabelle142[[#This Row],[x]]-0</f>
        <v>0</v>
      </c>
      <c r="F20" s="1">
        <f>Tabelle142[[#This Row],[y]]+0</f>
        <v>0</v>
      </c>
      <c r="G20" s="1">
        <f>Tabelle142[[#This Row],[x2]]*$B$1</f>
        <v>0</v>
      </c>
      <c r="H20" s="1">
        <f>Tabelle142[[#This Row],[y2]]*$B$1</f>
        <v>0</v>
      </c>
      <c r="I20" t="str" cm="1">
        <f t="array" ref="I20">toJson(Tabelle142[[#This Row],[Punkte]],Tabelle142[[#This Row],[x skaliert]],Tabelle142[[#This Row],[y skaliert]],Tabelle142[[#This Row],[Hide?]])</f>
        <v>{ "id" :"" ,"x":0,"y":0, "idloc":"e" },</v>
      </c>
    </row>
    <row r="21" spans="2:9" x14ac:dyDescent="0.25">
      <c r="E21" s="1">
        <f>Tabelle142[[#This Row],[x]]-0</f>
        <v>0</v>
      </c>
      <c r="F21" s="1">
        <f>Tabelle142[[#This Row],[y]]+0</f>
        <v>0</v>
      </c>
      <c r="G21" s="1">
        <f>Tabelle142[[#This Row],[x2]]*$B$1</f>
        <v>0</v>
      </c>
      <c r="H21" s="1">
        <f>Tabelle142[[#This Row],[y2]]*$B$1</f>
        <v>0</v>
      </c>
      <c r="I21" t="str" cm="1">
        <f t="array" ref="I21">toJson(Tabelle142[[#This Row],[Punkte]],Tabelle142[[#This Row],[x skaliert]],Tabelle142[[#This Row],[y skaliert]],Tabelle142[[#This Row],[Hide?]])</f>
        <v>{ "id" :"" ,"x":0,"y":0, "idloc":"e" },</v>
      </c>
    </row>
    <row r="22" spans="2:9" x14ac:dyDescent="0.25">
      <c r="E22" s="1">
        <f>Tabelle142[[#This Row],[x]]-0</f>
        <v>0</v>
      </c>
      <c r="F22" s="1">
        <f>Tabelle142[[#This Row],[y]]+0</f>
        <v>0</v>
      </c>
      <c r="G22" s="1">
        <f>Tabelle142[[#This Row],[x2]]*$B$1</f>
        <v>0</v>
      </c>
      <c r="H22" s="1">
        <f>Tabelle142[[#This Row],[y2]]*$B$1</f>
        <v>0</v>
      </c>
      <c r="I22" t="str" cm="1">
        <f t="array" ref="I22">toJson(Tabelle142[[#This Row],[Punkte]],Tabelle142[[#This Row],[x skaliert]],Tabelle142[[#This Row],[y skaliert]],Tabelle142[[#This Row],[Hide?]])</f>
        <v>{ "id" :"" ,"x":0,"y":0, "idloc":"e" },</v>
      </c>
    </row>
    <row r="23" spans="2:9" x14ac:dyDescent="0.25">
      <c r="E23" s="1">
        <f>Tabelle142[[#This Row],[x]]-0</f>
        <v>0</v>
      </c>
      <c r="F23" s="1">
        <f>Tabelle142[[#This Row],[y]]+0</f>
        <v>0</v>
      </c>
      <c r="G23" s="1">
        <f>Tabelle142[[#This Row],[x2]]*$B$1</f>
        <v>0</v>
      </c>
      <c r="H23" s="1">
        <f>Tabelle142[[#This Row],[y2]]*$B$1</f>
        <v>0</v>
      </c>
      <c r="I23" t="str" cm="1">
        <f t="array" ref="I23">toJson(Tabelle142[[#This Row],[Punkte]],Tabelle142[[#This Row],[x skaliert]],Tabelle142[[#This Row],[y skaliert]],Tabelle142[[#This Row],[Hide?]])</f>
        <v>{ "id" :"" ,"x":0,"y":0, "idloc":"e" },</v>
      </c>
    </row>
    <row r="24" spans="2:9" x14ac:dyDescent="0.25">
      <c r="E24" s="1">
        <f>Tabelle142[[#This Row],[x]]-0</f>
        <v>0</v>
      </c>
      <c r="F24" s="1">
        <f>Tabelle142[[#This Row],[y]]+0</f>
        <v>0</v>
      </c>
      <c r="G24" s="1">
        <f>Tabelle142[[#This Row],[x2]]*$B$1</f>
        <v>0</v>
      </c>
      <c r="H24" s="1">
        <f>Tabelle142[[#This Row],[y2]]*$B$1</f>
        <v>0</v>
      </c>
      <c r="I24" t="str" cm="1">
        <f t="array" ref="I24">toJson(Tabelle142[[#This Row],[Punkte]],Tabelle142[[#This Row],[x skaliert]],Tabelle142[[#This Row],[y skaliert]],Tabelle142[[#This Row],[Hide?]])</f>
        <v>{ "id" :"" ,"x":0,"y":0, "idloc":"e" },</v>
      </c>
    </row>
    <row r="25" spans="2:9" x14ac:dyDescent="0.25">
      <c r="E25" s="1">
        <f>Tabelle142[[#This Row],[x]]-0</f>
        <v>0</v>
      </c>
      <c r="F25" s="1">
        <f>Tabelle142[[#This Row],[y]]+0</f>
        <v>0</v>
      </c>
      <c r="G25" s="1">
        <f>Tabelle142[[#This Row],[x2]]*$B$1</f>
        <v>0</v>
      </c>
      <c r="H25" s="1">
        <f>Tabelle142[[#This Row],[y2]]*$B$1</f>
        <v>0</v>
      </c>
      <c r="I25" t="str" cm="1">
        <f t="array" ref="I25">toJson(Tabelle142[[#This Row],[Punkte]],Tabelle142[[#This Row],[x skaliert]],Tabelle142[[#This Row],[y skaliert]],Tabelle142[[#This Row],[Hide?]])</f>
        <v>{ "id" :"" ,"x":0,"y":0, "idloc":"e" },</v>
      </c>
    </row>
    <row r="26" spans="2:9" x14ac:dyDescent="0.25">
      <c r="E26" s="1">
        <f>Tabelle142[[#This Row],[x]]-0</f>
        <v>0</v>
      </c>
      <c r="F26" s="1">
        <f>Tabelle142[[#This Row],[y]]+0</f>
        <v>0</v>
      </c>
      <c r="G26" s="1">
        <f>Tabelle142[[#This Row],[x2]]*$B$1</f>
        <v>0</v>
      </c>
      <c r="H26" s="1">
        <f>Tabelle142[[#This Row],[y2]]*$B$1</f>
        <v>0</v>
      </c>
      <c r="I26" t="str" cm="1">
        <f t="array" ref="I26">toJson(Tabelle142[[#This Row],[Punkte]],Tabelle142[[#This Row],[x skaliert]],Tabelle142[[#This Row],[y skaliert]],Tabelle142[[#This Row],[Hide?]])</f>
        <v>{ "id" :"" ,"x":0,"y":0, "idloc":"e" 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Syn0580</vt:lpstr>
      <vt:lpstr>ANA078</vt:lpstr>
      <vt:lpstr>Syn0377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Schnabel</dc:creator>
  <cp:lastModifiedBy>Pascal</cp:lastModifiedBy>
  <dcterms:created xsi:type="dcterms:W3CDTF">2015-06-05T18:19:34Z</dcterms:created>
  <dcterms:modified xsi:type="dcterms:W3CDTF">2022-03-26T20:45:47Z</dcterms:modified>
</cp:coreProperties>
</file>